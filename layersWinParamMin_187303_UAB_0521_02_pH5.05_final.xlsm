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2" documentId="14_{B773171B-ED0E-45E6-AA55-52A5CF8C0833}" xr6:coauthVersionLast="47" xr6:coauthVersionMax="47" xr10:uidLastSave="{36382971-8018-4C15-ABC6-C6BE9E8C03B6}"/>
  <bookViews>
    <workbookView xWindow="3900" yWindow="3900" windowWidth="28800" windowHeight="15135" tabRatio="749" xr2:uid="{00000000-000D-0000-FFFF-FFFF00000000}"/>
  </bookViews>
  <sheets>
    <sheet name="Reflectivity" sheetId="1" r:id="rId1"/>
    <sheet name="Uncertainties" sheetId="55" r:id="rId2"/>
    <sheet name="Uncertainties_DREAM" sheetId="56" r:id="rId3"/>
    <sheet name="d1" sheetId="44" r:id="rId4"/>
    <sheet name="dtot" sheetId="45" r:id="rId5"/>
    <sheet name="dPGMA" sheetId="51" r:id="rId6"/>
    <sheet name="Nb1" sheetId="46" r:id="rId7"/>
    <sheet name="Nb2" sheetId="47" r:id="rId8"/>
    <sheet name="sig12" sheetId="48" r:id="rId9"/>
    <sheet name="sigtop" sheetId="26" r:id="rId10"/>
    <sheet name="NbPGMA" sheetId="54" r:id="rId11"/>
    <sheet name="NbD2O" sheetId="52" r:id="rId12"/>
    <sheet name="PMAAx" sheetId="57" r:id="rId13"/>
    <sheet name="ScaledCombined" sheetId="18" r:id="rId14"/>
    <sheet name="ScatteringParameters" sheetId="7" r:id="rId15"/>
    <sheet name="AtomicParameters" sheetId="6" r:id="rId16"/>
  </sheets>
  <functionGroups builtInGroupCount="19"/>
  <definedNames>
    <definedName name="REF_L_2790_2008_01_10T13_3A40_3A12_04_3A00_CE_scaling" localSheetId="13">ScaledCombined!$A$1:$K$158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2" i="1" l="1"/>
  <c r="D32" i="1" s="1"/>
  <c r="H8" i="1" s="1"/>
  <c r="D35" i="1" l="1"/>
  <c r="C35" i="1"/>
  <c r="C29" i="1"/>
  <c r="C18" i="56" l="1"/>
  <c r="C17" i="56"/>
  <c r="G62" i="57"/>
  <c r="H61" i="57"/>
  <c r="F61" i="57"/>
  <c r="H60" i="57"/>
  <c r="F60" i="57"/>
  <c r="H59" i="57"/>
  <c r="F59" i="57"/>
  <c r="H58" i="57"/>
  <c r="F58" i="57"/>
  <c r="H57" i="57"/>
  <c r="F57" i="57"/>
  <c r="A18" i="57"/>
  <c r="H52" i="57"/>
  <c r="F52" i="57"/>
  <c r="H51" i="57"/>
  <c r="F51" i="57"/>
  <c r="H50" i="57"/>
  <c r="F50" i="57"/>
  <c r="H49" i="57"/>
  <c r="F49" i="57"/>
  <c r="H48" i="57"/>
  <c r="H53" i="57" s="1"/>
  <c r="I53" i="57" s="1"/>
  <c r="F48" i="57"/>
  <c r="F53" i="57" s="1"/>
  <c r="H43" i="57"/>
  <c r="F43" i="57"/>
  <c r="H42" i="57"/>
  <c r="F42" i="57"/>
  <c r="H41" i="57"/>
  <c r="F41" i="57"/>
  <c r="H40" i="57"/>
  <c r="H44" i="57" s="1"/>
  <c r="I44" i="57" s="1"/>
  <c r="F40" i="57"/>
  <c r="F44" i="57" s="1"/>
  <c r="H39" i="57"/>
  <c r="F39" i="57"/>
  <c r="H34" i="57"/>
  <c r="F34" i="57"/>
  <c r="H33" i="57"/>
  <c r="F33" i="57"/>
  <c r="H32" i="57"/>
  <c r="F32" i="57"/>
  <c r="H31" i="57"/>
  <c r="F31" i="57"/>
  <c r="H30" i="57"/>
  <c r="H35" i="57" s="1"/>
  <c r="F30" i="57"/>
  <c r="F35" i="57" s="1"/>
  <c r="G26" i="57"/>
  <c r="H25" i="57"/>
  <c r="F25" i="57"/>
  <c r="H24" i="57"/>
  <c r="F24" i="57"/>
  <c r="H23" i="57"/>
  <c r="F23" i="57"/>
  <c r="H22" i="57"/>
  <c r="F22" i="57"/>
  <c r="H21" i="57"/>
  <c r="H26" i="57" s="1"/>
  <c r="I26" i="57" s="1"/>
  <c r="F21" i="57"/>
  <c r="F26" i="57" s="1"/>
  <c r="H16" i="57"/>
  <c r="F16" i="57"/>
  <c r="H15" i="57"/>
  <c r="F15" i="57"/>
  <c r="H14" i="57"/>
  <c r="H17" i="57" s="1"/>
  <c r="I17" i="57" s="1"/>
  <c r="F14" i="57"/>
  <c r="H13" i="57"/>
  <c r="F13" i="57"/>
  <c r="H12" i="57"/>
  <c r="F12" i="57"/>
  <c r="F17" i="57" s="1"/>
  <c r="A12" i="57"/>
  <c r="A10" i="57"/>
  <c r="G8" i="57"/>
  <c r="A8" i="57"/>
  <c r="H7" i="57"/>
  <c r="F7" i="57"/>
  <c r="H6" i="57"/>
  <c r="F6" i="57"/>
  <c r="A6" i="57"/>
  <c r="H5" i="57"/>
  <c r="F5" i="57"/>
  <c r="H4" i="57"/>
  <c r="F4" i="57"/>
  <c r="H3" i="57"/>
  <c r="H8" i="57" s="1"/>
  <c r="I8" i="57" s="1"/>
  <c r="F3" i="57"/>
  <c r="F8" i="57" s="1"/>
  <c r="H62" i="57" l="1"/>
  <c r="F62" i="57"/>
  <c r="I35" i="57"/>
  <c r="A14" i="57" s="1"/>
  <c r="A16" i="57"/>
  <c r="I62" i="57" l="1"/>
  <c r="B8" i="56" l="1"/>
  <c r="B21" i="56" s="1"/>
  <c r="B22" i="56" s="1"/>
  <c r="B23" i="56" s="1"/>
  <c r="B24" i="56" s="1"/>
  <c r="B26" i="56" s="1"/>
  <c r="C8" i="56"/>
  <c r="B25" i="56" l="1"/>
  <c r="C21" i="56"/>
  <c r="C22" i="56" s="1"/>
  <c r="C23" i="56" l="1"/>
  <c r="C24" i="56" l="1"/>
  <c r="C25" i="56" s="1"/>
  <c r="C26" i="56" l="1"/>
  <c r="G19" i="1" l="1"/>
  <c r="H18" i="1"/>
  <c r="C18" i="1" s="1"/>
  <c r="F18" i="1"/>
  <c r="B10" i="55" l="1"/>
  <c r="B5" i="55"/>
  <c r="C13" i="55"/>
  <c r="B13" i="55"/>
  <c r="C12" i="55"/>
  <c r="B12" i="55"/>
  <c r="C9" i="55"/>
  <c r="B9" i="55"/>
  <c r="C8" i="55"/>
  <c r="B8" i="55"/>
  <c r="C7" i="55"/>
  <c r="B7" i="55"/>
  <c r="C4" i="55"/>
  <c r="B4" i="55"/>
  <c r="C3" i="55"/>
  <c r="B3" i="55"/>
  <c r="C2" i="55"/>
  <c r="B2" i="55"/>
  <c r="C4" i="1"/>
  <c r="B16" i="55" l="1"/>
  <c r="C16" i="55" s="1"/>
  <c r="E32" i="1"/>
  <c r="H6" i="1"/>
  <c r="D29" i="1" l="1"/>
  <c r="B15" i="55" s="1"/>
  <c r="C15" i="55"/>
  <c r="E29" i="1" l="1"/>
  <c r="F29" i="1" s="1"/>
  <c r="G6" i="1"/>
  <c r="F7" i="1"/>
  <c r="B17" i="55" l="1"/>
  <c r="F32" i="1"/>
  <c r="B18" i="55"/>
  <c r="G4" i="1"/>
  <c r="C17" i="55" l="1"/>
  <c r="C18" i="55" s="1"/>
  <c r="C19" i="55" s="1"/>
  <c r="B19" i="55"/>
  <c r="B21" i="55" s="1"/>
  <c r="B20" i="55"/>
  <c r="C21" i="55" l="1"/>
  <c r="C20" i="55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7" background="1" saveData="1">
    <textPr codePage="437" sourceFile="C:\Data\2021\Eugenia\IPTS-27476\REFL_187303_combined_data_auto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<sst xmlns="http://schemas.openxmlformats.org/spreadsheetml/2006/main" count="1197" uniqueCount="668">
  <si>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</si>
  <si>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</si>
  <si>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</si>
  <si>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</si>
  <si>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</si>
  <si>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</si>
  <si>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</si>
  <si>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</si>
  <si>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</si>
  <si>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</si>
  <si>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</si>
  <si>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</si>
  <si>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</si>
  <si>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</si>
  <si>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</si>
  <si>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</si>
  <si>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</si>
  <si>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</si>
  <si>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</si>
  <si>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</si>
  <si>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</si>
  <si>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</si>
  <si>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</si>
  <si>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</si>
  <si>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</si>
  <si>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</si>
  <si>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</si>
  <si>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</si>
  <si>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</si>
  <si>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</si>
  <si>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</si>
  <si>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</si>
  <si>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</si>
  <si>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</si>
  <si>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</si>
  <si>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</si>
  <si>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</si>
  <si>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</si>
  <si>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</si>
  <si>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</si>
  <si>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</si>
  <si>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</si>
  <si>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</si>
  <si>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</si>
  <si>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</si>
  <si>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</si>
  <si>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</si>
  <si>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</si>
  <si>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</si>
  <si>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</si>
  <si>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</si>
  <si>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</si>
  <si>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</si>
  <si>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</si>
  <si>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</si>
  <si>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</si>
  <si>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</si>
  <si>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</si>
  <si>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</si>
  <si>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</si>
  <si>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</si>
  <si>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</si>
  <si>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</si>
  <si>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</si>
  <si>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</si>
  <si>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</si>
  <si>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</si>
  <si>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</si>
  <si>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</si>
  <si>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</si>
  <si>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</si>
  <si>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</si>
  <si>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</si>
  <si>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</si>
  <si>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</si>
  <si>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</si>
  <si>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</si>
  <si>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</si>
  <si>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</si>
  <si>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</si>
  <si>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</si>
  <si>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</si>
  <si>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</si>
  <si>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</si>
  <si>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</si>
  <si>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</si>
  <si>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</si>
  <si>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</si>
  <si>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</si>
  <si>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</si>
  <si>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</si>
  <si>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</si>
  <si>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</si>
  <si>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</si>
  <si>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</si>
  <si>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</si>
  <si>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</si>
  <si>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</si>
  <si>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</si>
  <si>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</si>
  <si>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</si>
  <si>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</si>
  <si>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</si>
  <si>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</si>
  <si>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</si>
  <si>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</si>
  <si>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</si>
  <si>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</si>
  <si>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</si>
  <si>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</si>
  <si>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</si>
  <si>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</si>
  <si>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</si>
  <si>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</si>
  <si>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</si>
  <si>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</si>
  <si>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</si>
  <si>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</si>
  <si>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</si>
  <si>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</si>
  <si>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</si>
  <si>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</si>
  <si>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</si>
  <si>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</si>
  <si>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</si>
  <si>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</si>
  <si>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</si>
  <si>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</si>
  <si>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</si>
  <si>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</si>
  <si>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</si>
  <si>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</si>
  <si>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</si>
  <si>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</si>
  <si>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</si>
  <si>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</si>
  <si>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</si>
  <si>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</si>
  <si>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</si>
  <si>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</si>
  <si>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</si>
  <si>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</si>
  <si>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</si>
  <si>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</si>
  <si>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</si>
  <si>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</si>
  <si>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</si>
  <si>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</si>
  <si>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</si>
  <si>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</si>
  <si>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</si>
  <si>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</si>
  <si>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</si>
  <si>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</si>
  <si>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</si>
  <si>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</si>
  <si>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</si>
  <si>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</si>
  <si>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</si>
  <si>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</si>
  <si>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</si>
  <si>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</si>
  <si>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</si>
  <si>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</si>
  <si>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</si>
  <si>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</si>
  <si>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</si>
  <si>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</si>
  <si>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</si>
  <si>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</si>
  <si>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</si>
  <si>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</si>
  <si>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</si>
  <si>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</si>
  <si>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</si>
  <si>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</si>
  <si>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</si>
  <si>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</si>
  <si>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</si>
  <si>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</si>
  <si>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</si>
  <si>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</si>
  <si>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</si>
  <si>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</si>
  <si>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</si>
  <si>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</si>
  <si>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</si>
  <si>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</si>
  <si>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</si>
  <si>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</si>
  <si>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</si>
  <si>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</si>
  <si>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</si>
  <si>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</si>
  <si>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</si>
  <si>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</si>
  <si>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</si>
  <si>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</si>
  <si>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</si>
  <si>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</si>
  <si>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</si>
  <si>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</si>
  <si>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</si>
  <si>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</si>
  <si>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</si>
  <si>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</si>
  <si>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</si>
  <si>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</si>
  <si>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</si>
  <si>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</si>
  <si>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</si>
  <si>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</si>
  <si>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</si>
  <si>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</si>
  <si>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</si>
  <si>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</si>
  <si>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</si>
  <si>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</si>
  <si>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</si>
  <si>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</si>
  <si>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</si>
  <si>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</si>
  <si>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</si>
  <si>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</si>
  <si>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</si>
  <si>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</si>
  <si>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</si>
  <si>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</si>
  <si>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</si>
  <si>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</si>
  <si>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</si>
  <si>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</si>
  <si>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</si>
  <si>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</si>
  <si>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</si>
  <si>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</si>
  <si>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</si>
  <si>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</si>
  <si>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</si>
  <si>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</si>
  <si>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</si>
  <si>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</si>
  <si>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</si>
  <si>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</si>
  <si>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</si>
  <si>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</si>
  <si>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</si>
  <si>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</si>
  <si>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</si>
  <si>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</si>
  <si>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</si>
  <si>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</si>
  <si>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</si>
  <si>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</si>
  <si>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</si>
  <si>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</si>
  <si>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</si>
  <si>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</si>
  <si>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</si>
  <si>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</si>
  <si>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</si>
  <si>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</si>
  <si>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</si>
  <si>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</si>
  <si>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</si>
  <si>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</si>
  <si>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</si>
  <si>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</si>
  <si>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</si>
  <si>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</si>
  <si>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</si>
  <si>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</si>
  <si>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</si>
  <si>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</si>
  <si>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</si>
  <si>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</si>
  <si>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</si>
  <si>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</si>
  <si>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</si>
  <si>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</si>
  <si>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</si>
  <si>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</si>
  <si>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</si>
  <si>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</si>
  <si>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</si>
  <si>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</si>
  <si>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</si>
  <si>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</si>
  <si>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</si>
  <si>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</si>
  <si>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</si>
  <si>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</si>
  <si>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</si>
  <si>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</si>
  <si>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</si>
  <si>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</si>
  <si>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</si>
  <si>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</si>
  <si>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</si>
  <si>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</si>
  <si>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</si>
  <si>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</si>
  <si>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</si>
  <si>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</si>
  <si>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</si>
  <si>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</si>
  <si>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</si>
  <si>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</si>
  <si>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</si>
  <si>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</si>
  <si>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</si>
  <si>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</si>
  <si>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</si>
  <si>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</si>
  <si>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</si>
  <si>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</si>
  <si>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</si>
  <si>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</si>
  <si>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</si>
  <si>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</si>
  <si>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</si>
  <si>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</si>
  <si>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</si>
  <si>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</si>
  <si>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</si>
  <si>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</si>
  <si>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</si>
  <si>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</si>
  <si>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</si>
  <si>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</si>
  <si>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</si>
  <si>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</si>
  <si>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</si>
  <si>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</si>
  <si>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</si>
  <si>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</si>
  <si>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</si>
  <si>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</si>
  <si>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</si>
  <si>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</si>
  <si>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</si>
  <si>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</si>
  <si>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</si>
  <si>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</si>
  <si>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</si>
  <si>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</si>
  <si>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</si>
  <si>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</si>
  <si>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</si>
  <si>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</si>
  <si>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</si>
  <si>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</si>
  <si>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</si>
  <si>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</si>
  <si>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</si>
  <si>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</si>
  <si>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</si>
  <si>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</si>
  <si>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</si>
  <si>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</si>
  <si>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</si>
  <si>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</si>
  <si>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</si>
  <si>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</si>
  <si>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</si>
  <si>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</si>
  <si>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</si>
  <si>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</si>
  <si>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</si>
  <si>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</si>
  <si>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</si>
  <si>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</si>
  <si>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</si>
  <si>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</si>
  <si>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</si>
  <si>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</si>
  <si>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</si>
  <si>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</si>
  <si>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</si>
  <si>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</si>
  <si>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</si>
  <si>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</si>
  <si>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</si>
  <si>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</si>
  <si>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</si>
  <si>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</si>
  <si>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</si>
  <si>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</si>
  <si>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</si>
  <si>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</si>
  <si>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</si>
  <si>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</si>
  <si>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</si>
  <si>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</si>
  <si>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</si>
  <si>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</si>
  <si>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</si>
  <si>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</si>
  <si>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</si>
  <si>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</si>
  <si>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</si>
  <si>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</si>
  <si>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</si>
  <si>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</si>
  <si>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</si>
  <si>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</si>
  <si>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</si>
  <si>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</si>
  <si>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</si>
  <si>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</si>
  <si>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</si>
  <si>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</si>
  <si>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</si>
  <si>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</si>
  <si>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</si>
  <si>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</si>
  <si>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</si>
  <si>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</si>
  <si>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</si>
  <si>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</si>
  <si>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</si>
  <si>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</si>
  <si>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</si>
  <si>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</si>
  <si>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</si>
  <si>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</si>
  <si>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</si>
  <si>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</si>
  <si>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</si>
  <si>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</si>
  <si>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</si>
  <si>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</si>
  <si>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</si>
  <si>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</si>
  <si>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</si>
  <si>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</si>
  <si>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</si>
  <si>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</si>
  <si>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</si>
  <si>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</si>
  <si>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</si>
  <si>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</si>
  <si>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</si>
  <si>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</si>
  <si>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</si>
  <si>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</si>
  <si>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</si>
  <si>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</si>
  <si>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</si>
  <si>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</si>
  <si>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</si>
  <si>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</si>
  <si>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</si>
  <si>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</si>
  <si>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</si>
  <si>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</si>
  <si>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</si>
  <si>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</si>
  <si>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</si>
  <si>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</si>
  <si>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</si>
  <si>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</si>
  <si>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</si>
  <si>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</si>
  <si>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</si>
  <si>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</si>
  <si>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</si>
  <si>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</si>
  <si>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</si>
  <si>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</si>
  <si>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</si>
  <si>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</si>
  <si>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</si>
  <si>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</si>
  <si>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</si>
  <si>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</si>
  <si>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</si>
  <si>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</si>
  <si>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</si>
  <si>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</si>
  <si>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</si>
  <si>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</si>
  <si>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</si>
  <si>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</si>
  <si>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</si>
  <si>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</si>
  <si>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</si>
  <si>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</si>
  <si>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</si>
  <si>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</si>
  <si>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</si>
  <si>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</si>
  <si>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</si>
  <si>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</si>
  <si>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</si>
  <si>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</si>
  <si>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</si>
  <si>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</si>
  <si>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</si>
  <si>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</si>
  <si>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</si>
  <si>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</si>
  <si>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</si>
  <si>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</si>
  <si>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</si>
  <si>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</si>
  <si>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</si>
  <si>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</si>
  <si>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</si>
  <si>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</si>
  <si>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</si>
  <si>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</si>
  <si>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</si>
  <si>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</si>
  <si>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</si>
  <si>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</si>
  <si>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</si>
  <si>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</si>
  <si>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</si>
  <si>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</si>
  <si>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</si>
  <si>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</si>
  <si>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</si>
  <si>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</si>
  <si>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</si>
  <si>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</si>
  <si>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</si>
  <si>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</si>
  <si>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</si>
  <si>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</si>
  <si>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</si>
  <si>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</si>
  <si>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</si>
  <si>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</si>
  <si>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</si>
  <si>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</si>
  <si>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</si>
  <si>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</si>
  <si>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</si>
  <si>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</si>
  <si>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</si>
  <si>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</si>
  <si>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</si>
  <si>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</si>
  <si>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</si>
  <si>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</si>
  <si>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</si>
  <si>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</si>
  <si>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</si>
  <si>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</si>
  <si>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</si>
  <si>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</si>
  <si>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</si>
  <si>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</si>
  <si>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</si>
  <si>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</si>
  <si>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</si>
  <si>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</si>
  <si>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</si>
  <si>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</si>
  <si>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</si>
  <si>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</si>
  <si>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</si>
  <si>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</si>
  <si>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</si>
  <si>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</si>
  <si>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</si>
  <si>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</si>
  <si>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</si>
  <si>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</si>
  <si>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</si>
  <si>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</si>
  <si>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</si>
  <si>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</si>
  <si>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</si>
  <si>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</si>
  <si>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</si>
  <si>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</si>
  <si>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</si>
  <si>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</si>
  <si>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</si>
  <si>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</si>
  <si>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</si>
  <si>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</si>
  <si>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</si>
  <si>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</si>
  <si>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</si>
  <si>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</si>
  <si>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</si>
  <si>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</si>
  <si>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</si>
  <si>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</si>
  <si>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</si>
  <si>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</si>
  <si>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</si>
  <si>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</si>
  <si>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</si>
  <si>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</si>
  <si>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</si>
  <si>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</si>
  <si>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t>PMAAxEDA</t>
  </si>
  <si>
    <t>Buffer</t>
  </si>
  <si>
    <t>IPTS-27476</t>
  </si>
  <si>
    <t>Aug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</si>
  <si>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</si>
  <si>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</si>
  <si>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d</t>
    </r>
    <r>
      <rPr>
        <b/>
        <vertAlign val="subscript"/>
        <sz val="12"/>
        <rFont val="Times New Roman"/>
        <family val="1"/>
      </rPr>
      <t>tot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</si>
  <si>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PMAAxEDA 1</t>
  </si>
  <si>
    <t>PMAAxEDA 2</t>
  </si>
  <si>
    <t>F6</t>
  </si>
  <si>
    <t>H4</t>
  </si>
  <si>
    <t>C6</t>
  </si>
  <si>
    <t>C7</t>
  </si>
  <si>
    <t>G8</t>
  </si>
  <si>
    <t>G7</t>
  </si>
  <si>
    <t>F5</t>
  </si>
  <si>
    <t>C8</t>
  </si>
  <si>
    <t>C5</t>
  </si>
  <si>
    <t>D2O</t>
  </si>
  <si>
    <t>2H 2;O 1;</t>
  </si>
  <si>
    <r>
      <t>b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</si>
  <si>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</si>
  <si>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perscript"/>
        <sz val="12"/>
        <rFont val="Times New Roman"/>
        <family val="1"/>
      </rPr>
      <t>buf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</si>
  <si>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</si>
  <si>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</si>
  <si>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</si>
  <si>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V</t>
    </r>
    <r>
      <rPr>
        <b/>
        <vertAlign val="sub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</si>
  <si>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</si>
  <si>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</si>
  <si>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</si>
  <si>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</si>
  <si>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b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</si>
  <si>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δp</t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</si>
  <si>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</si>
  <si>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</si>
  <si>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</si>
  <si>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</si>
  <si>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</si>
  <si>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12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</si>
  <si>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</si>
  <si>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</si>
  <si>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</si>
  <si>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</si>
  <si>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</si>
  <si>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</si>
  <si>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</si>
  <si>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UAB_0521_2_pH5.05-187303-1.</t>
  </si>
  <si>
    <t>2021-08-05T18:32:02.996642667</t>
  </si>
  <si>
    <t>Thu</t>
  </si>
  <si>
    <t>6.1.20210804.1103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</si>
  <si>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</si>
  <si>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</si>
  <si>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</si>
  <si>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d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</si>
  <si>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(Å)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</si>
  <si>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</si>
  <si>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</si>
  <si>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</si>
  <si>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</si>
  <si>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</si>
  <si>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</si>
  <si>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</si>
  <si>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</si>
  <si>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</si>
  <si>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>O</t>
    </r>
  </si>
  <si>
    <r>
      <t>s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</si>
  <si>
    <r>
      <t>Σ</t>
    </r>
    <r>
      <rPr>
        <b/>
        <vertAlign val="sub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</si>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</sst>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8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1" fontId="10" fillId="37" borderId="0" xfId="0" applyNumberFormat="1" applyFont="1" applyFill="1"/>
    <xf numFmtId="11" fontId="0" fillId="37" borderId="0" xfId="0" applyNumberFormat="1" applyFill="1"/>
    <xf numFmtId="11" fontId="0" fillId="32" borderId="0" xfId="0" applyNumberFormat="1" applyFill="1"/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0" fillId="39" borderId="0" xfId="0" applyNumberFormat="1" applyFill="1"/>
    <xf numFmtId="1" fontId="0" fillId="32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2" borderId="0" xfId="0" applyNumberFormat="1" applyFill="1"/>
    <xf numFmtId="166" fontId="0" fillId="0" borderId="0" xfId="0" applyNumberFormat="1"/>
    <xf numFmtId="2" fontId="0" fillId="42" borderId="0" xfId="0" applyFill="1"/>
    <xf numFmtId="11" fontId="0" fillId="42" borderId="0" xfId="0" applyNumberFormat="1" applyFill="1"/>
    <xf numFmtId="2" fontId="17" fillId="0" borderId="0" xfId="0" applyFont="1" applyAlignment="1">
      <alignment horizontal="center" vertical="center"/>
    </xf>
    <xf numFmtId="11" fontId="0" fillId="42" borderId="0" xfId="0" applyNumberFormat="1" applyFont="1" applyFill="1"/>
    <xf numFmtId="166" fontId="0" fillId="42" borderId="0" xfId="0" applyNumberFormat="1" applyFont="1" applyFill="1"/>
    <xf numFmtId="164" fontId="0" fillId="42" borderId="0" xfId="0" applyNumberFormat="1" applyFill="1"/>
    <xf numFmtId="2" fontId="0" fillId="42" borderId="0" xfId="0" applyNumberFormat="1" applyFill="1"/>
    <xf numFmtId="165" fontId="0" fillId="42" borderId="0" xfId="0" applyNumberFormat="1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115.20000000000006</c:v>
                </c:pt>
                <c:pt idx="68">
                  <c:v>115.20000000000006</c:v>
                </c:pt>
                <c:pt idx="69">
                  <c:v>116.89800773406363</c:v>
                </c:pt>
                <c:pt idx="70">
                  <c:v>116.89800773406363</c:v>
                </c:pt>
                <c:pt idx="71">
                  <c:v>118.15554166418369</c:v>
                </c:pt>
                <c:pt idx="72">
                  <c:v>118.15554166418369</c:v>
                </c:pt>
                <c:pt idx="73">
                  <c:v>118.84256903409808</c:v>
                </c:pt>
                <c:pt idx="74">
                  <c:v>118.84256903409808</c:v>
                </c:pt>
                <c:pt idx="75">
                  <c:v>119.33655621395947</c:v>
                </c:pt>
                <c:pt idx="76">
                  <c:v>119.33655621395947</c:v>
                </c:pt>
                <c:pt idx="77">
                  <c:v>119.73050852478941</c:v>
                </c:pt>
                <c:pt idx="78">
                  <c:v>119.73050852478941</c:v>
                </c:pt>
                <c:pt idx="79">
                  <c:v>120.06326553127099</c:v>
                </c:pt>
                <c:pt idx="80">
                  <c:v>120.06326553127099</c:v>
                </c:pt>
                <c:pt idx="81">
                  <c:v>120.35502720074946</c:v>
                </c:pt>
                <c:pt idx="82">
                  <c:v>120.35502720074946</c:v>
                </c:pt>
                <c:pt idx="83">
                  <c:v>120.61774643318861</c:v>
                </c:pt>
                <c:pt idx="84">
                  <c:v>120.61774643318861</c:v>
                </c:pt>
                <c:pt idx="85">
                  <c:v>120.85914777433317</c:v>
                </c:pt>
                <c:pt idx="86">
                  <c:v>120.85914777433317</c:v>
                </c:pt>
                <c:pt idx="87">
                  <c:v>121.08456562694856</c:v>
                </c:pt>
                <c:pt idx="88">
                  <c:v>121.08456562694856</c:v>
                </c:pt>
                <c:pt idx="89">
                  <c:v>121.29788819438754</c:v>
                </c:pt>
                <c:pt idx="90">
                  <c:v>121.29788819438754</c:v>
                </c:pt>
                <c:pt idx="91">
                  <c:v>121.50208628500968</c:v>
                </c:pt>
                <c:pt idx="92">
                  <c:v>121.50208628500968</c:v>
                </c:pt>
                <c:pt idx="93">
                  <c:v>121.69953133315929</c:v>
                </c:pt>
                <c:pt idx="94">
                  <c:v>121.69953133315929</c:v>
                </c:pt>
                <c:pt idx="95">
                  <c:v>121.89219919333834</c:v>
                </c:pt>
                <c:pt idx="96">
                  <c:v>121.89219919333834</c:v>
                </c:pt>
                <c:pt idx="97">
                  <c:v>122.08180932070964</c:v>
                </c:pt>
                <c:pt idx="98">
                  <c:v>122.08180932070964</c:v>
                </c:pt>
                <c:pt idx="99">
                  <c:v>122.26992687963177</c:v>
                </c:pt>
                <c:pt idx="100">
                  <c:v>122.26992687963177</c:v>
                </c:pt>
                <c:pt idx="101">
                  <c:v>122.56746914114726</c:v>
                </c:pt>
                <c:pt idx="102">
                  <c:v>122.56746914114726</c:v>
                </c:pt>
                <c:pt idx="103">
                  <c:v>123.16255366417823</c:v>
                </c:pt>
                <c:pt idx="104">
                  <c:v>123.16255366417823</c:v>
                </c:pt>
                <c:pt idx="105">
                  <c:v>123.75763818720921</c:v>
                </c:pt>
                <c:pt idx="106">
                  <c:v>123.75763818720921</c:v>
                </c:pt>
                <c:pt idx="107">
                  <c:v>124.35272271024019</c:v>
                </c:pt>
                <c:pt idx="108">
                  <c:v>124.35272271024019</c:v>
                </c:pt>
                <c:pt idx="109">
                  <c:v>124.94780723327116</c:v>
                </c:pt>
                <c:pt idx="110">
                  <c:v>124.94780723327116</c:v>
                </c:pt>
                <c:pt idx="111">
                  <c:v>125.54289175630214</c:v>
                </c:pt>
                <c:pt idx="112">
                  <c:v>125.54289175630214</c:v>
                </c:pt>
                <c:pt idx="113">
                  <c:v>126.13797627933312</c:v>
                </c:pt>
                <c:pt idx="114">
                  <c:v>126.13797627933312</c:v>
                </c:pt>
                <c:pt idx="115">
                  <c:v>126.73306080236409</c:v>
                </c:pt>
                <c:pt idx="116">
                  <c:v>126.73306080236409</c:v>
                </c:pt>
                <c:pt idx="117">
                  <c:v>127.32814532539507</c:v>
                </c:pt>
                <c:pt idx="118">
                  <c:v>127.32814532539507</c:v>
                </c:pt>
                <c:pt idx="119">
                  <c:v>127.92322984842605</c:v>
                </c:pt>
                <c:pt idx="120">
                  <c:v>127.92322984842605</c:v>
                </c:pt>
                <c:pt idx="121">
                  <c:v>128.51831437145702</c:v>
                </c:pt>
                <c:pt idx="122">
                  <c:v>128.51831437145702</c:v>
                </c:pt>
                <c:pt idx="123">
                  <c:v>129.113398894488</c:v>
                </c:pt>
                <c:pt idx="124">
                  <c:v>129.113398894488</c:v>
                </c:pt>
                <c:pt idx="125">
                  <c:v>129.70848341751898</c:v>
                </c:pt>
                <c:pt idx="126">
                  <c:v>129.70848341751898</c:v>
                </c:pt>
                <c:pt idx="127">
                  <c:v>130.30356794054995</c:v>
                </c:pt>
                <c:pt idx="128">
                  <c:v>130.30356794054995</c:v>
                </c:pt>
                <c:pt idx="129">
                  <c:v>130.89865246358093</c:v>
                </c:pt>
                <c:pt idx="130">
                  <c:v>130.89865246358093</c:v>
                </c:pt>
                <c:pt idx="131">
                  <c:v>131.49373698661191</c:v>
                </c:pt>
                <c:pt idx="132">
                  <c:v>131.49373698661191</c:v>
                </c:pt>
                <c:pt idx="133">
                  <c:v>132.08882150964288</c:v>
                </c:pt>
                <c:pt idx="134">
                  <c:v>132.08882150964288</c:v>
                </c:pt>
                <c:pt idx="135">
                  <c:v>132.68390603267386</c:v>
                </c:pt>
                <c:pt idx="136">
                  <c:v>132.68390603267386</c:v>
                </c:pt>
                <c:pt idx="137">
                  <c:v>133.27899055570484</c:v>
                </c:pt>
                <c:pt idx="138">
                  <c:v>133.27899055570484</c:v>
                </c:pt>
                <c:pt idx="139">
                  <c:v>133.87407507873581</c:v>
                </c:pt>
                <c:pt idx="140">
                  <c:v>133.87407507873581</c:v>
                </c:pt>
                <c:pt idx="141">
                  <c:v>134.46915960176679</c:v>
                </c:pt>
                <c:pt idx="142">
                  <c:v>134.46915960176679</c:v>
                </c:pt>
                <c:pt idx="143">
                  <c:v>135.06424412479777</c:v>
                </c:pt>
                <c:pt idx="144">
                  <c:v>135.06424412479777</c:v>
                </c:pt>
                <c:pt idx="145">
                  <c:v>135.65932864782874</c:v>
                </c:pt>
                <c:pt idx="146">
                  <c:v>135.65932864782874</c:v>
                </c:pt>
                <c:pt idx="147">
                  <c:v>136.25441317085972</c:v>
                </c:pt>
                <c:pt idx="148">
                  <c:v>136.25441317085972</c:v>
                </c:pt>
                <c:pt idx="149">
                  <c:v>136.8494976938907</c:v>
                </c:pt>
                <c:pt idx="150">
                  <c:v>136.8494976938907</c:v>
                </c:pt>
                <c:pt idx="151">
                  <c:v>137.44458221692167</c:v>
                </c:pt>
                <c:pt idx="152">
                  <c:v>137.44458221692167</c:v>
                </c:pt>
                <c:pt idx="153">
                  <c:v>138.03966673995265</c:v>
                </c:pt>
                <c:pt idx="154">
                  <c:v>138.03966673995265</c:v>
                </c:pt>
                <c:pt idx="155">
                  <c:v>138.63475126298363</c:v>
                </c:pt>
                <c:pt idx="156">
                  <c:v>138.63475126298363</c:v>
                </c:pt>
                <c:pt idx="157">
                  <c:v>139.2298357860146</c:v>
                </c:pt>
                <c:pt idx="158">
                  <c:v>139.2298357860146</c:v>
                </c:pt>
                <c:pt idx="159">
                  <c:v>139.82492030904558</c:v>
                </c:pt>
                <c:pt idx="160">
                  <c:v>139.82492030904558</c:v>
                </c:pt>
                <c:pt idx="161">
                  <c:v>140.42000483207656</c:v>
                </c:pt>
                <c:pt idx="162">
                  <c:v>140.42000483207656</c:v>
                </c:pt>
                <c:pt idx="163">
                  <c:v>141.01508935510753</c:v>
                </c:pt>
                <c:pt idx="164">
                  <c:v>141.01508935510753</c:v>
                </c:pt>
                <c:pt idx="165">
                  <c:v>141.31263161662304</c:v>
                </c:pt>
                <c:pt idx="166">
                  <c:v>141.31263161662304</c:v>
                </c:pt>
                <c:pt idx="167">
                  <c:v>142.40373407875273</c:v>
                </c:pt>
                <c:pt idx="168">
                  <c:v>142.40373407875273</c:v>
                </c:pt>
                <c:pt idx="169">
                  <c:v>144.58593900301216</c:v>
                </c:pt>
                <c:pt idx="170">
                  <c:v>144.58593900301216</c:v>
                </c:pt>
                <c:pt idx="171">
                  <c:v>146.76814392727158</c:v>
                </c:pt>
                <c:pt idx="172">
                  <c:v>146.76814392727158</c:v>
                </c:pt>
                <c:pt idx="173">
                  <c:v>148.950348851531</c:v>
                </c:pt>
                <c:pt idx="174">
                  <c:v>148.950348851531</c:v>
                </c:pt>
                <c:pt idx="175">
                  <c:v>151.13255377579043</c:v>
                </c:pt>
                <c:pt idx="176">
                  <c:v>151.13255377579043</c:v>
                </c:pt>
                <c:pt idx="177">
                  <c:v>153.31475870004985</c:v>
                </c:pt>
                <c:pt idx="178">
                  <c:v>153.31475870004985</c:v>
                </c:pt>
                <c:pt idx="179">
                  <c:v>155.49696362430927</c:v>
                </c:pt>
                <c:pt idx="180">
                  <c:v>155.49696362430927</c:v>
                </c:pt>
                <c:pt idx="181">
                  <c:v>157.6791685485687</c:v>
                </c:pt>
                <c:pt idx="182">
                  <c:v>157.6791685485687</c:v>
                </c:pt>
                <c:pt idx="183">
                  <c:v>159.86137347282812</c:v>
                </c:pt>
                <c:pt idx="184">
                  <c:v>159.86137347282812</c:v>
                </c:pt>
                <c:pt idx="185">
                  <c:v>162.04357839708754</c:v>
                </c:pt>
                <c:pt idx="186">
                  <c:v>162.04357839708754</c:v>
                </c:pt>
                <c:pt idx="187">
                  <c:v>164.22578332134697</c:v>
                </c:pt>
                <c:pt idx="188">
                  <c:v>164.22578332134697</c:v>
                </c:pt>
                <c:pt idx="189">
                  <c:v>166.40798824560639</c:v>
                </c:pt>
                <c:pt idx="190">
                  <c:v>166.40798824560639</c:v>
                </c:pt>
                <c:pt idx="191">
                  <c:v>168.59019316986581</c:v>
                </c:pt>
                <c:pt idx="192">
                  <c:v>168.59019316986581</c:v>
                </c:pt>
                <c:pt idx="193">
                  <c:v>170.77239809412524</c:v>
                </c:pt>
                <c:pt idx="194">
                  <c:v>170.77239809412524</c:v>
                </c:pt>
                <c:pt idx="195">
                  <c:v>172.95460301838466</c:v>
                </c:pt>
                <c:pt idx="196">
                  <c:v>172.95460301838466</c:v>
                </c:pt>
                <c:pt idx="197">
                  <c:v>175.13680794264408</c:v>
                </c:pt>
                <c:pt idx="198">
                  <c:v>175.13680794264408</c:v>
                </c:pt>
                <c:pt idx="199">
                  <c:v>177.31901286690351</c:v>
                </c:pt>
                <c:pt idx="200">
                  <c:v>177.31901286690351</c:v>
                </c:pt>
                <c:pt idx="201">
                  <c:v>179.50121779116293</c:v>
                </c:pt>
                <c:pt idx="202">
                  <c:v>179.50121779116293</c:v>
                </c:pt>
                <c:pt idx="203">
                  <c:v>181.68342271542235</c:v>
                </c:pt>
                <c:pt idx="204">
                  <c:v>181.68342271542235</c:v>
                </c:pt>
                <c:pt idx="205">
                  <c:v>183.86562763968178</c:v>
                </c:pt>
                <c:pt idx="206">
                  <c:v>183.86562763968178</c:v>
                </c:pt>
                <c:pt idx="207">
                  <c:v>186.0478325639412</c:v>
                </c:pt>
                <c:pt idx="208">
                  <c:v>186.0478325639412</c:v>
                </c:pt>
                <c:pt idx="209">
                  <c:v>188.23003748820062</c:v>
                </c:pt>
                <c:pt idx="210">
                  <c:v>188.23003748820062</c:v>
                </c:pt>
                <c:pt idx="211">
                  <c:v>190.41224241246005</c:v>
                </c:pt>
                <c:pt idx="212">
                  <c:v>190.41224241246005</c:v>
                </c:pt>
                <c:pt idx="213">
                  <c:v>192.59444733671947</c:v>
                </c:pt>
                <c:pt idx="214">
                  <c:v>192.59444733671947</c:v>
                </c:pt>
                <c:pt idx="215">
                  <c:v>194.77665226097889</c:v>
                </c:pt>
                <c:pt idx="216">
                  <c:v>194.77665226097889</c:v>
                </c:pt>
                <c:pt idx="217">
                  <c:v>196.95885718523832</c:v>
                </c:pt>
                <c:pt idx="218">
                  <c:v>196.95885718523832</c:v>
                </c:pt>
                <c:pt idx="219">
                  <c:v>199.14106210949774</c:v>
                </c:pt>
                <c:pt idx="220">
                  <c:v>199.14106210949774</c:v>
                </c:pt>
                <c:pt idx="221">
                  <c:v>201.32326703375716</c:v>
                </c:pt>
                <c:pt idx="222">
                  <c:v>201.32326703375716</c:v>
                </c:pt>
                <c:pt idx="223">
                  <c:v>203.50547195801659</c:v>
                </c:pt>
                <c:pt idx="224">
                  <c:v>203.50547195801659</c:v>
                </c:pt>
                <c:pt idx="225">
                  <c:v>205.68767688227601</c:v>
                </c:pt>
                <c:pt idx="226">
                  <c:v>205.68767688227601</c:v>
                </c:pt>
                <c:pt idx="227">
                  <c:v>207.86988180653543</c:v>
                </c:pt>
                <c:pt idx="228">
                  <c:v>207.86988180653543</c:v>
                </c:pt>
                <c:pt idx="229">
                  <c:v>210.05208673079485</c:v>
                </c:pt>
                <c:pt idx="230">
                  <c:v>210.05208673079485</c:v>
                </c:pt>
                <c:pt idx="231">
                  <c:v>211.14318919292455</c:v>
                </c:pt>
                <c:pt idx="232">
                  <c:v>211.14318919292455</c:v>
                </c:pt>
                <c:pt idx="233">
                  <c:v>213.58244555388384</c:v>
                </c:pt>
                <c:pt idx="234">
                  <c:v>213.58244555388384</c:v>
                </c:pt>
                <c:pt idx="235">
                  <c:v>216.04105554192961</c:v>
                </c:pt>
                <c:pt idx="236">
                  <c:v>216.04105554192961</c:v>
                </c:pt>
                <c:pt idx="237">
                  <c:v>218.53931411059801</c:v>
                </c:pt>
                <c:pt idx="238">
                  <c:v>218.53931411059801</c:v>
                </c:pt>
                <c:pt idx="239">
                  <c:v>221.09951684977023</c:v>
                </c:pt>
                <c:pt idx="240">
                  <c:v>221.09951684977023</c:v>
                </c:pt>
                <c:pt idx="241">
                  <c:v>223.74728399229409</c:v>
                </c:pt>
                <c:pt idx="242">
                  <c:v>223.74728399229409</c:v>
                </c:pt>
                <c:pt idx="243">
                  <c:v>226.51336512019722</c:v>
                </c:pt>
                <c:pt idx="244">
                  <c:v>226.51336512019722</c:v>
                </c:pt>
                <c:pt idx="245">
                  <c:v>229.43628169436721</c:v>
                </c:pt>
                <c:pt idx="246">
                  <c:v>229.43628169436721</c:v>
                </c:pt>
                <c:pt idx="247">
                  <c:v>232.56645072433372</c:v>
                </c:pt>
                <c:pt idx="248">
                  <c:v>232.56645072433372</c:v>
                </c:pt>
                <c:pt idx="249">
                  <c:v>235.97304159519879</c:v>
                </c:pt>
                <c:pt idx="250">
                  <c:v>235.97304159519879</c:v>
                </c:pt>
                <c:pt idx="251">
                  <c:v>239.7562158625945</c:v>
                </c:pt>
                <c:pt idx="252">
                  <c:v>239.7562158625945</c:v>
                </c:pt>
                <c:pt idx="253">
                  <c:v>244.07096271219595</c:v>
                </c:pt>
                <c:pt idx="254">
                  <c:v>244.07096271219595</c:v>
                </c:pt>
                <c:pt idx="255">
                  <c:v>249.17920824553477</c:v>
                </c:pt>
                <c:pt idx="256">
                  <c:v>249.17920824553477</c:v>
                </c:pt>
                <c:pt idx="257">
                  <c:v>255.58457187885747</c:v>
                </c:pt>
                <c:pt idx="258">
                  <c:v>255.58457187885747</c:v>
                </c:pt>
                <c:pt idx="259">
                  <c:v>264.49302195560199</c:v>
                </c:pt>
                <c:pt idx="260">
                  <c:v>264.49302195560199</c:v>
                </c:pt>
                <c:pt idx="261">
                  <c:v>280.79903642731483</c:v>
                </c:pt>
                <c:pt idx="262">
                  <c:v>280.79903642731483</c:v>
                </c:pt>
                <c:pt idx="263">
                  <c:v>302.81652480003601</c:v>
                </c:pt>
                <c:pt idx="264">
                  <c:v>302.81652480003601</c:v>
                </c:pt>
                <c:pt idx="265">
                  <c:v>1061.9980728557539</c:v>
                </c:pt>
                <c:pt idx="266">
                  <c:v>1061.9980728557539</c:v>
                </c:pt>
                <c:pt idx="267">
                  <c:v>1084.4391437829977</c:v>
                </c:pt>
                <c:pt idx="268">
                  <c:v>1084.4391437829977</c:v>
                </c:pt>
                <c:pt idx="269">
                  <c:v>1101.0588608508963</c:v>
                </c:pt>
                <c:pt idx="270">
                  <c:v>1101.0588608508963</c:v>
                </c:pt>
                <c:pt idx="271">
                  <c:v>1110.1386957821012</c:v>
                </c:pt>
                <c:pt idx="272">
                  <c:v>1110.1386957821012</c:v>
                </c:pt>
                <c:pt idx="273">
                  <c:v>1116.6672887431528</c:v>
                </c:pt>
                <c:pt idx="274">
                  <c:v>1116.6672887431528</c:v>
                </c:pt>
                <c:pt idx="275">
                  <c:v>1121.8738090504128</c:v>
                </c:pt>
                <c:pt idx="276">
                  <c:v>1121.8738090504128</c:v>
                </c:pt>
                <c:pt idx="277">
                  <c:v>1126.2715649817828</c:v>
                </c:pt>
                <c:pt idx="278">
                  <c:v>1126.2715649817828</c:v>
                </c:pt>
                <c:pt idx="279">
                  <c:v>1130.1275216934455</c:v>
                </c:pt>
                <c:pt idx="280">
                  <c:v>1130.1275216934455</c:v>
                </c:pt>
                <c:pt idx="281">
                  <c:v>1133.5996501242205</c:v>
                </c:pt>
                <c:pt idx="282">
                  <c:v>1133.5996501242205</c:v>
                </c:pt>
                <c:pt idx="283">
                  <c:v>1136.790038783754</c:v>
                </c:pt>
                <c:pt idx="284">
                  <c:v>1136.790038783754</c:v>
                </c:pt>
                <c:pt idx="285">
                  <c:v>1139.7691877695499</c:v>
                </c:pt>
                <c:pt idx="286">
                  <c:v>1139.7691877695499</c:v>
                </c:pt>
                <c:pt idx="287">
                  <c:v>1142.588484036725</c:v>
                </c:pt>
                <c:pt idx="288">
                  <c:v>1142.588484036725</c:v>
                </c:pt>
                <c:pt idx="289">
                  <c:v>1145.2871901397255</c:v>
                </c:pt>
                <c:pt idx="290">
                  <c:v>1145.2871901397255</c:v>
                </c:pt>
                <c:pt idx="291">
                  <c:v>1147.8966472351619</c:v>
                </c:pt>
                <c:pt idx="292">
                  <c:v>1147.8966472351619</c:v>
                </c:pt>
                <c:pt idx="293">
                  <c:v>1150.4429684496899</c:v>
                </c:pt>
                <c:pt idx="294">
                  <c:v>1150.4429684496899</c:v>
                </c:pt>
                <c:pt idx="295">
                  <c:v>1152.9488783059896</c:v>
                </c:pt>
                <c:pt idx="296">
                  <c:v>1152.9488783059896</c:v>
                </c:pt>
                <c:pt idx="297">
                  <c:v>1155.4350622012353</c:v>
                </c:pt>
                <c:pt idx="298">
                  <c:v>1155.4350622012353</c:v>
                </c:pt>
                <c:pt idx="299">
                  <c:v>1157.9212460964809</c:v>
                </c:pt>
                <c:pt idx="300">
                  <c:v>1157.9212460964809</c:v>
                </c:pt>
                <c:pt idx="301">
                  <c:v>1160.4271559527806</c:v>
                </c:pt>
                <c:pt idx="302">
                  <c:v>1160.4271559527806</c:v>
                </c:pt>
                <c:pt idx="303">
                  <c:v>1162.9734771673086</c:v>
                </c:pt>
                <c:pt idx="304">
                  <c:v>1162.9734771673086</c:v>
                </c:pt>
                <c:pt idx="305">
                  <c:v>1165.5829342627451</c:v>
                </c:pt>
                <c:pt idx="306">
                  <c:v>1165.5829342627451</c:v>
                </c:pt>
                <c:pt idx="307">
                  <c:v>1168.2816403657455</c:v>
                </c:pt>
                <c:pt idx="308">
                  <c:v>1168.2816403657455</c:v>
                </c:pt>
                <c:pt idx="309">
                  <c:v>1171.1009366329206</c:v>
                </c:pt>
                <c:pt idx="310">
                  <c:v>1171.1009366329206</c:v>
                </c:pt>
                <c:pt idx="311">
                  <c:v>1174.0800856187166</c:v>
                </c:pt>
                <c:pt idx="312">
                  <c:v>1174.0800856187166</c:v>
                </c:pt>
                <c:pt idx="313">
                  <c:v>1177.27047427825</c:v>
                </c:pt>
                <c:pt idx="314">
                  <c:v>1177.27047427825</c:v>
                </c:pt>
                <c:pt idx="315">
                  <c:v>1180.742602709025</c:v>
                </c:pt>
                <c:pt idx="316">
                  <c:v>1180.742602709025</c:v>
                </c:pt>
                <c:pt idx="317">
                  <c:v>1184.5985594206877</c:v>
                </c:pt>
                <c:pt idx="318">
                  <c:v>1184.5985594206877</c:v>
                </c:pt>
                <c:pt idx="319">
                  <c:v>1188.9963153520578</c:v>
                </c:pt>
                <c:pt idx="320">
                  <c:v>1188.9963153520578</c:v>
                </c:pt>
                <c:pt idx="321">
                  <c:v>1194.2028356593178</c:v>
                </c:pt>
                <c:pt idx="322">
                  <c:v>1194.2028356593178</c:v>
                </c:pt>
                <c:pt idx="323">
                  <c:v>1200.7314286203693</c:v>
                </c:pt>
                <c:pt idx="324">
                  <c:v>1200.7314286203693</c:v>
                </c:pt>
                <c:pt idx="325">
                  <c:v>1209.8112635515743</c:v>
                </c:pt>
                <c:pt idx="326">
                  <c:v>1209.8112635515743</c:v>
                </c:pt>
                <c:pt idx="327">
                  <c:v>1226.4309806194728</c:v>
                </c:pt>
                <c:pt idx="328">
                  <c:v>1226.4309806194728</c:v>
                </c:pt>
                <c:pt idx="329">
                  <c:v>1248.8720515467166</c:v>
                </c:pt>
                <c:pt idx="330">
                  <c:v>1248.8720515467166</c:v>
                </c:pt>
                <c:pt idx="331">
                  <c:v>1448.8720515467166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3.1955854398194677E-6</c:v>
                </c:pt>
                <c:pt idx="69">
                  <c:v>3.1955854398194677E-6</c:v>
                </c:pt>
                <c:pt idx="70">
                  <c:v>3.1568491597692759E-6</c:v>
                </c:pt>
                <c:pt idx="71">
                  <c:v>3.1568491597692759E-6</c:v>
                </c:pt>
                <c:pt idx="72">
                  <c:v>3.0947016621409781E-6</c:v>
                </c:pt>
                <c:pt idx="73">
                  <c:v>3.0947016621409781E-6</c:v>
                </c:pt>
                <c:pt idx="74">
                  <c:v>3.0203576412504464E-6</c:v>
                </c:pt>
                <c:pt idx="75">
                  <c:v>3.0203576412504464E-6</c:v>
                </c:pt>
                <c:pt idx="76">
                  <c:v>2.939101188620458E-6</c:v>
                </c:pt>
                <c:pt idx="77">
                  <c:v>2.939101188620458E-6</c:v>
                </c:pt>
                <c:pt idx="78">
                  <c:v>2.8537219809003147E-6</c:v>
                </c:pt>
                <c:pt idx="79">
                  <c:v>2.8537219809003147E-6</c:v>
                </c:pt>
                <c:pt idx="80">
                  <c:v>2.7658150933796752E-6</c:v>
                </c:pt>
                <c:pt idx="81">
                  <c:v>2.7658150933796752E-6</c:v>
                </c:pt>
                <c:pt idx="82">
                  <c:v>2.6763414190454655E-6</c:v>
                </c:pt>
                <c:pt idx="83">
                  <c:v>2.6763414190454655E-6</c:v>
                </c:pt>
                <c:pt idx="84">
                  <c:v>2.5858993293920895E-6</c:v>
                </c:pt>
                <c:pt idx="85">
                  <c:v>2.5858993293920895E-6</c:v>
                </c:pt>
                <c:pt idx="86">
                  <c:v>2.4948683707296052E-6</c:v>
                </c:pt>
                <c:pt idx="87">
                  <c:v>2.4948683707296052E-6</c:v>
                </c:pt>
                <c:pt idx="88">
                  <c:v>2.4034905218561989E-6</c:v>
                </c:pt>
                <c:pt idx="89">
                  <c:v>2.4034905218561989E-6</c:v>
                </c:pt>
                <c:pt idx="90">
                  <c:v>2.3119186588142591E-6</c:v>
                </c:pt>
                <c:pt idx="91">
                  <c:v>2.3119186588142591E-6</c:v>
                </c:pt>
                <c:pt idx="92">
                  <c:v>2.2202467868688178E-6</c:v>
                </c:pt>
                <c:pt idx="93">
                  <c:v>2.2202467868688178E-6</c:v>
                </c:pt>
                <c:pt idx="94">
                  <c:v>2.1285296827316225E-6</c:v>
                </c:pt>
                <c:pt idx="95">
                  <c:v>2.1285296827316225E-6</c:v>
                </c:pt>
                <c:pt idx="96">
                  <c:v>2.0367961922619296E-6</c:v>
                </c:pt>
                <c:pt idx="97">
                  <c:v>2.0367961922619296E-6</c:v>
                </c:pt>
                <c:pt idx="98">
                  <c:v>1.9450586663552181E-6</c:v>
                </c:pt>
                <c:pt idx="99">
                  <c:v>1.9450586663552181E-6</c:v>
                </c:pt>
                <c:pt idx="100">
                  <c:v>1.8423565420078838E-6</c:v>
                </c:pt>
                <c:pt idx="101">
                  <c:v>1.8423565420078838E-6</c:v>
                </c:pt>
                <c:pt idx="102">
                  <c:v>1.6304025517864546E-6</c:v>
                </c:pt>
                <c:pt idx="103">
                  <c:v>1.6304025517864546E-6</c:v>
                </c:pt>
                <c:pt idx="104">
                  <c:v>1.3686966860942675E-6</c:v>
                </c:pt>
                <c:pt idx="105">
                  <c:v>1.3686966860942675E-6</c:v>
                </c:pt>
                <c:pt idx="106">
                  <c:v>1.1460372555715319E-6</c:v>
                </c:pt>
                <c:pt idx="107">
                  <c:v>1.1460372555715319E-6</c:v>
                </c:pt>
                <c:pt idx="108">
                  <c:v>9.7156022451655253E-7</c:v>
                </c:pt>
                <c:pt idx="109">
                  <c:v>9.7156022451655253E-7</c:v>
                </c:pt>
                <c:pt idx="110">
                  <c:v>8.461449228700743E-7</c:v>
                </c:pt>
                <c:pt idx="111">
                  <c:v>8.461449228700743E-7</c:v>
                </c:pt>
                <c:pt idx="112">
                  <c:v>7.6420206041025436E-7</c:v>
                </c:pt>
                <c:pt idx="113">
                  <c:v>7.6420206041025436E-7</c:v>
                </c:pt>
                <c:pt idx="114">
                  <c:v>7.1663633290930609E-7</c:v>
                </c:pt>
                <c:pt idx="115">
                  <c:v>7.1663633290930609E-7</c:v>
                </c:pt>
                <c:pt idx="116">
                  <c:v>6.9373215357588042E-7</c:v>
                </c:pt>
                <c:pt idx="117">
                  <c:v>6.9373215357588042E-7</c:v>
                </c:pt>
                <c:pt idx="118">
                  <c:v>6.8712971494196221E-7</c:v>
                </c:pt>
                <c:pt idx="119">
                  <c:v>6.8712971494196221E-7</c:v>
                </c:pt>
                <c:pt idx="120">
                  <c:v>6.9067567611203988E-7</c:v>
                </c:pt>
                <c:pt idx="121">
                  <c:v>6.9067567611203988E-7</c:v>
                </c:pt>
                <c:pt idx="122">
                  <c:v>7.0039820275334871E-7</c:v>
                </c:pt>
                <c:pt idx="123">
                  <c:v>7.0039820275334871E-7</c:v>
                </c:pt>
                <c:pt idx="124">
                  <c:v>7.1402728795994694E-7</c:v>
                </c:pt>
                <c:pt idx="125">
                  <c:v>7.1402728795994694E-7</c:v>
                </c:pt>
                <c:pt idx="126">
                  <c:v>7.304171642413913E-7</c:v>
                </c:pt>
                <c:pt idx="127">
                  <c:v>7.304171642413913E-7</c:v>
                </c:pt>
                <c:pt idx="128">
                  <c:v>7.4906893231713921E-7</c:v>
                </c:pt>
                <c:pt idx="129">
                  <c:v>7.4906893231713921E-7</c:v>
                </c:pt>
                <c:pt idx="130">
                  <c:v>7.6981071350181707E-7</c:v>
                </c:pt>
                <c:pt idx="131">
                  <c:v>7.6981071350181707E-7</c:v>
                </c:pt>
                <c:pt idx="132">
                  <c:v>7.9261380457296351E-7</c:v>
                </c:pt>
                <c:pt idx="133">
                  <c:v>7.9261380457296351E-7</c:v>
                </c:pt>
                <c:pt idx="134">
                  <c:v>8.1749928172529403E-7</c:v>
                </c:pt>
                <c:pt idx="135">
                  <c:v>8.1749928172529403E-7</c:v>
                </c:pt>
                <c:pt idx="136">
                  <c:v>8.4449503294503625E-7</c:v>
                </c:pt>
                <c:pt idx="137">
                  <c:v>8.4449503294503625E-7</c:v>
                </c:pt>
                <c:pt idx="138">
                  <c:v>8.7361726554170874E-7</c:v>
                </c:pt>
                <c:pt idx="139">
                  <c:v>8.7361726554170874E-7</c:v>
                </c:pt>
                <c:pt idx="140">
                  <c:v>9.0486263727406651E-7</c:v>
                </c:pt>
                <c:pt idx="141">
                  <c:v>9.0486263727406651E-7</c:v>
                </c:pt>
                <c:pt idx="142">
                  <c:v>9.3820467653694985E-7</c:v>
                </c:pt>
                <c:pt idx="143">
                  <c:v>9.3820467653694985E-7</c:v>
                </c:pt>
                <c:pt idx="144">
                  <c:v>9.7359197006992953E-7</c:v>
                </c:pt>
                <c:pt idx="145">
                  <c:v>9.7359197006992953E-7</c:v>
                </c:pt>
                <c:pt idx="146">
                  <c:v>1.0109472478331438E-6</c:v>
                </c:pt>
                <c:pt idx="147">
                  <c:v>1.0109472478331438E-6</c:v>
                </c:pt>
                <c:pt idx="148">
                  <c:v>1.0501671151502316E-6</c:v>
                </c:pt>
                <c:pt idx="149">
                  <c:v>1.0501671151502316E-6</c:v>
                </c:pt>
                <c:pt idx="150">
                  <c:v>1.0911223817082227E-6</c:v>
                </c:pt>
                <c:pt idx="151">
                  <c:v>1.0911223817082227E-6</c:v>
                </c:pt>
                <c:pt idx="152">
                  <c:v>1.1336589853332918E-6</c:v>
                </c:pt>
                <c:pt idx="153">
                  <c:v>1.1336589853332918E-6</c:v>
                </c:pt>
                <c:pt idx="154">
                  <c:v>1.1775995081552932E-6</c:v>
                </c:pt>
                <c:pt idx="155">
                  <c:v>1.1775995081552932E-6</c:v>
                </c:pt>
                <c:pt idx="156">
                  <c:v>1.2227452682968356E-6</c:v>
                </c:pt>
                <c:pt idx="157">
                  <c:v>1.2227452682968356E-6</c:v>
                </c:pt>
                <c:pt idx="158">
                  <c:v>1.2688789523449335E-6</c:v>
                </c:pt>
                <c:pt idx="159">
                  <c:v>1.2688789523449335E-6</c:v>
                </c:pt>
                <c:pt idx="160">
                  <c:v>1.3157677359500882E-6</c:v>
                </c:pt>
                <c:pt idx="161">
                  <c:v>1.3157677359500882E-6</c:v>
                </c:pt>
                <c:pt idx="162">
                  <c:v>1.3631668234903092E-6</c:v>
                </c:pt>
                <c:pt idx="163">
                  <c:v>1.3631668234903092E-6</c:v>
                </c:pt>
                <c:pt idx="164">
                  <c:v>1.3988990854759866E-6</c:v>
                </c:pt>
                <c:pt idx="165">
                  <c:v>1.3988990854759866E-6</c:v>
                </c:pt>
                <c:pt idx="166">
                  <c:v>1.4709049444146454E-6</c:v>
                </c:pt>
                <c:pt idx="167">
                  <c:v>1.4709049444146454E-6</c:v>
                </c:pt>
                <c:pt idx="168">
                  <c:v>1.6030046677395911E-6</c:v>
                </c:pt>
                <c:pt idx="169">
                  <c:v>1.6030046677395911E-6</c:v>
                </c:pt>
                <c:pt idx="170">
                  <c:v>1.7684675961779119E-6</c:v>
                </c:pt>
                <c:pt idx="171">
                  <c:v>1.7684675961779119E-6</c:v>
                </c:pt>
                <c:pt idx="172">
                  <c:v>1.9132451864375687E-6</c:v>
                </c:pt>
                <c:pt idx="173">
                  <c:v>1.9132451864375687E-6</c:v>
                </c:pt>
                <c:pt idx="174">
                  <c:v>2.0320137628318913E-6</c:v>
                </c:pt>
                <c:pt idx="175">
                  <c:v>2.0320137628318913E-6</c:v>
                </c:pt>
                <c:pt idx="176">
                  <c:v>2.1239565652832429E-6</c:v>
                </c:pt>
                <c:pt idx="177">
                  <c:v>2.1239565652832429E-6</c:v>
                </c:pt>
                <c:pt idx="178">
                  <c:v>2.1919567571950794E-6</c:v>
                </c:pt>
                <c:pt idx="179">
                  <c:v>2.1919567571950794E-6</c:v>
                </c:pt>
                <c:pt idx="180">
                  <c:v>2.2411083581913575E-6</c:v>
                </c:pt>
                <c:pt idx="181">
                  <c:v>2.2411083581913575E-6</c:v>
                </c:pt>
                <c:pt idx="182">
                  <c:v>2.2771618807876642E-6</c:v>
                </c:pt>
                <c:pt idx="183">
                  <c:v>2.2771618807876642E-6</c:v>
                </c:pt>
                <c:pt idx="184">
                  <c:v>2.3053618111098581E-6</c:v>
                </c:pt>
                <c:pt idx="185">
                  <c:v>2.3053618111098581E-6</c:v>
                </c:pt>
                <c:pt idx="186">
                  <c:v>2.3298479718071053E-6</c:v>
                </c:pt>
                <c:pt idx="187">
                  <c:v>2.3298479718071053E-6</c:v>
                </c:pt>
                <c:pt idx="188">
                  <c:v>2.3535467586726149E-6</c:v>
                </c:pt>
                <c:pt idx="189">
                  <c:v>2.3535467586726149E-6</c:v>
                </c:pt>
                <c:pt idx="190">
                  <c:v>2.3783586800379564E-6</c:v>
                </c:pt>
                <c:pt idx="191">
                  <c:v>2.3783586800379564E-6</c:v>
                </c:pt>
                <c:pt idx="192">
                  <c:v>2.4054502036974994E-6</c:v>
                </c:pt>
                <c:pt idx="193">
                  <c:v>2.4054502036974994E-6</c:v>
                </c:pt>
                <c:pt idx="194">
                  <c:v>2.4355240354507916E-6</c:v>
                </c:pt>
                <c:pt idx="195">
                  <c:v>2.4355240354507916E-6</c:v>
                </c:pt>
                <c:pt idx="196">
                  <c:v>2.4690154042869726E-6</c:v>
                </c:pt>
                <c:pt idx="197">
                  <c:v>2.4690154042869726E-6</c:v>
                </c:pt>
                <c:pt idx="198">
                  <c:v>2.5062118110839147E-6</c:v>
                </c:pt>
                <c:pt idx="199">
                  <c:v>2.5062118110839147E-6</c:v>
                </c:pt>
                <c:pt idx="200">
                  <c:v>2.547315489125022E-6</c:v>
                </c:pt>
                <c:pt idx="201">
                  <c:v>2.547315489125022E-6</c:v>
                </c:pt>
                <c:pt idx="202">
                  <c:v>2.5924706207367805E-6</c:v>
                </c:pt>
                <c:pt idx="203">
                  <c:v>2.5924706207367805E-6</c:v>
                </c:pt>
                <c:pt idx="204">
                  <c:v>2.6417719872862111E-6</c:v>
                </c:pt>
                <c:pt idx="205">
                  <c:v>2.6417719872862111E-6</c:v>
                </c:pt>
                <c:pt idx="206">
                  <c:v>2.6952652209887088E-6</c:v>
                </c:pt>
                <c:pt idx="207">
                  <c:v>2.6952652209887088E-6</c:v>
                </c:pt>
                <c:pt idx="208">
                  <c:v>2.7529440065830718E-6</c:v>
                </c:pt>
                <c:pt idx="209">
                  <c:v>2.7529440065830718E-6</c:v>
                </c:pt>
                <c:pt idx="210">
                  <c:v>2.8147467666311462E-6</c:v>
                </c:pt>
                <c:pt idx="211">
                  <c:v>2.8147467666311462E-6</c:v>
                </c:pt>
                <c:pt idx="212">
                  <c:v>2.8805539655557796E-6</c:v>
                </c:pt>
                <c:pt idx="213">
                  <c:v>2.8805539655557796E-6</c:v>
                </c:pt>
                <c:pt idx="214">
                  <c:v>2.9501865468661812E-6</c:v>
                </c:pt>
                <c:pt idx="215">
                  <c:v>2.9501865468661812E-6</c:v>
                </c:pt>
                <c:pt idx="216">
                  <c:v>3.0234057547512243E-6</c:v>
                </c:pt>
                <c:pt idx="217">
                  <c:v>3.0234057547512243E-6</c:v>
                </c:pt>
                <c:pt idx="218">
                  <c:v>3.099914468293342E-6</c:v>
                </c:pt>
                <c:pt idx="219">
                  <c:v>3.099914468293342E-6</c:v>
                </c:pt>
                <c:pt idx="220">
                  <c:v>3.1793601004096905E-6</c:v>
                </c:pt>
                <c:pt idx="221">
                  <c:v>3.1793601004096905E-6</c:v>
                </c:pt>
                <c:pt idx="222">
                  <c:v>3.261339050307509E-6</c:v>
                </c:pt>
                <c:pt idx="223">
                  <c:v>3.261339050307509E-6</c:v>
                </c:pt>
                <c:pt idx="224">
                  <c:v>3.3454026382433922E-6</c:v>
                </c:pt>
                <c:pt idx="225">
                  <c:v>3.3454026382433922E-6</c:v>
                </c:pt>
                <c:pt idx="226">
                  <c:v>3.4310643939199862E-6</c:v>
                </c:pt>
                <c:pt idx="227">
                  <c:v>3.4310643939199862E-6</c:v>
                </c:pt>
                <c:pt idx="228">
                  <c:v>3.517808516971421E-6</c:v>
                </c:pt>
                <c:pt idx="229">
                  <c:v>3.517808516971421E-6</c:v>
                </c:pt>
                <c:pt idx="230">
                  <c:v>3.5832551082468435E-6</c:v>
                </c:pt>
                <c:pt idx="231">
                  <c:v>3.5832551082468435E-6</c:v>
                </c:pt>
                <c:pt idx="232">
                  <c:v>3.6538254000930409E-6</c:v>
                </c:pt>
                <c:pt idx="233">
                  <c:v>3.6538254000930409E-6</c:v>
                </c:pt>
                <c:pt idx="234">
                  <c:v>3.7512768122485785E-6</c:v>
                </c:pt>
                <c:pt idx="235">
                  <c:v>3.7512768122485785E-6</c:v>
                </c:pt>
                <c:pt idx="236">
                  <c:v>3.8487239376192675E-6</c:v>
                </c:pt>
                <c:pt idx="237">
                  <c:v>3.8487239376192675E-6</c:v>
                </c:pt>
                <c:pt idx="238">
                  <c:v>3.9461536560321585E-6</c:v>
                </c:pt>
                <c:pt idx="239">
                  <c:v>3.9461536560321585E-6</c:v>
                </c:pt>
                <c:pt idx="240">
                  <c:v>4.0435353249591083E-6</c:v>
                </c:pt>
                <c:pt idx="241">
                  <c:v>4.0435353249591083E-6</c:v>
                </c:pt>
                <c:pt idx="242">
                  <c:v>4.1408107559122515E-6</c:v>
                </c:pt>
                <c:pt idx="243">
                  <c:v>4.1408107559122515E-6</c:v>
                </c:pt>
                <c:pt idx="244">
                  <c:v>4.2378800884938188E-6</c:v>
                </c:pt>
                <c:pt idx="245">
                  <c:v>4.2378800884938188E-6</c:v>
                </c:pt>
                <c:pt idx="246">
                  <c:v>4.334580924753046E-6</c:v>
                </c:pt>
                <c:pt idx="247">
                  <c:v>4.334580924753046E-6</c:v>
                </c:pt>
                <c:pt idx="248">
                  <c:v>4.4306562142041912E-6</c:v>
                </c:pt>
                <c:pt idx="249">
                  <c:v>4.4306562142041912E-6</c:v>
                </c:pt>
                <c:pt idx="250">
                  <c:v>4.5257027704354997E-6</c:v>
                </c:pt>
                <c:pt idx="251">
                  <c:v>4.5257027704354997E-6</c:v>
                </c:pt>
                <c:pt idx="252">
                  <c:v>4.6190849522898022E-6</c:v>
                </c:pt>
                <c:pt idx="253">
                  <c:v>4.6190849522898022E-6</c:v>
                </c:pt>
                <c:pt idx="254">
                  <c:v>4.7097820174091505E-6</c:v>
                </c:pt>
                <c:pt idx="255">
                  <c:v>4.7097820174091505E-6</c:v>
                </c:pt>
                <c:pt idx="256">
                  <c:v>4.7960995409882631E-6</c:v>
                </c:pt>
                <c:pt idx="257">
                  <c:v>4.7960995409882631E-6</c:v>
                </c:pt>
                <c:pt idx="258">
                  <c:v>4.8750740909283879E-6</c:v>
                </c:pt>
                <c:pt idx="259">
                  <c:v>4.8750740909283879E-6</c:v>
                </c:pt>
                <c:pt idx="260">
                  <c:v>4.9410924552340617E-6</c:v>
                </c:pt>
                <c:pt idx="261">
                  <c:v>4.9410924552340617E-6</c:v>
                </c:pt>
                <c:pt idx="262">
                  <c:v>4.9822414305877503E-6</c:v>
                </c:pt>
                <c:pt idx="263">
                  <c:v>4.9822414305877503E-6</c:v>
                </c:pt>
                <c:pt idx="264">
                  <c:v>4.9869309523443749E-6</c:v>
                </c:pt>
                <c:pt idx="265">
                  <c:v>4.9869309523443749E-6</c:v>
                </c:pt>
                <c:pt idx="266">
                  <c:v>4.9892269073730205E-6</c:v>
                </c:pt>
                <c:pt idx="267">
                  <c:v>4.9892269073730205E-6</c:v>
                </c:pt>
                <c:pt idx="268">
                  <c:v>5.0093731401425923E-6</c:v>
                </c:pt>
                <c:pt idx="269">
                  <c:v>5.0093731401425923E-6</c:v>
                </c:pt>
                <c:pt idx="270">
                  <c:v>5.0416952410682306E-6</c:v>
                </c:pt>
                <c:pt idx="271">
                  <c:v>5.0416952410682306E-6</c:v>
                </c:pt>
                <c:pt idx="272">
                  <c:v>5.0803605942705987E-6</c:v>
                </c:pt>
                <c:pt idx="273">
                  <c:v>5.0803605942705987E-6</c:v>
                </c:pt>
                <c:pt idx="274">
                  <c:v>5.1226210128392448E-6</c:v>
                </c:pt>
                <c:pt idx="275">
                  <c:v>5.1226210128392448E-6</c:v>
                </c:pt>
                <c:pt idx="276">
                  <c:v>5.1670256224244412E-6</c:v>
                </c:pt>
                <c:pt idx="277">
                  <c:v>5.1670256224244412E-6</c:v>
                </c:pt>
                <c:pt idx="278">
                  <c:v>5.2127448452239615E-6</c:v>
                </c:pt>
                <c:pt idx="279">
                  <c:v>5.2127448452239615E-6</c:v>
                </c:pt>
                <c:pt idx="280">
                  <c:v>5.2592789333591711E-6</c:v>
                </c:pt>
                <c:pt idx="281">
                  <c:v>5.2592789333591711E-6</c:v>
                </c:pt>
                <c:pt idx="282">
                  <c:v>5.3063166816396583E-6</c:v>
                </c:pt>
                <c:pt idx="283">
                  <c:v>5.3063166816396583E-6</c:v>
                </c:pt>
                <c:pt idx="284">
                  <c:v>5.3536606929922028E-6</c:v>
                </c:pt>
                <c:pt idx="285">
                  <c:v>5.3536606929922028E-6</c:v>
                </c:pt>
                <c:pt idx="286">
                  <c:v>5.4011851174077898E-6</c:v>
                </c:pt>
                <c:pt idx="287">
                  <c:v>5.4011851174077898E-6</c:v>
                </c:pt>
                <c:pt idx="288">
                  <c:v>5.4488104460556579E-6</c:v>
                </c:pt>
                <c:pt idx="289">
                  <c:v>5.4488104460556579E-6</c:v>
                </c:pt>
                <c:pt idx="290">
                  <c:v>5.4964877880266002E-6</c:v>
                </c:pt>
                <c:pt idx="291">
                  <c:v>5.4964877880266002E-6</c:v>
                </c:pt>
                <c:pt idx="292">
                  <c:v>5.5441886546690543E-6</c:v>
                </c:pt>
                <c:pt idx="293">
                  <c:v>5.5441886546690543E-6</c:v>
                </c:pt>
                <c:pt idx="294">
                  <c:v>5.591898043628786E-6</c:v>
                </c:pt>
                <c:pt idx="295">
                  <c:v>5.591898043628786E-6</c:v>
                </c:pt>
                <c:pt idx="296">
                  <c:v>5.6396095313665469E-6</c:v>
                </c:pt>
                <c:pt idx="297">
                  <c:v>5.6396095313665469E-6</c:v>
                </c:pt>
                <c:pt idx="298">
                  <c:v>5.6873214209778283E-6</c:v>
                </c:pt>
                <c:pt idx="299">
                  <c:v>5.6873214209778283E-6</c:v>
                </c:pt>
                <c:pt idx="300">
                  <c:v>5.7350329087155883E-6</c:v>
                </c:pt>
                <c:pt idx="301">
                  <c:v>5.7350329087155883E-6</c:v>
                </c:pt>
                <c:pt idx="302">
                  <c:v>5.7827422976753209E-6</c:v>
                </c:pt>
                <c:pt idx="303">
                  <c:v>5.7827422976753209E-6</c:v>
                </c:pt>
                <c:pt idx="304">
                  <c:v>5.830443164317775E-6</c:v>
                </c:pt>
                <c:pt idx="305">
                  <c:v>5.830443164317775E-6</c:v>
                </c:pt>
                <c:pt idx="306">
                  <c:v>5.8781205062887173E-6</c:v>
                </c:pt>
                <c:pt idx="307">
                  <c:v>5.8781205062887173E-6</c:v>
                </c:pt>
                <c:pt idx="308">
                  <c:v>5.9257458349365846E-6</c:v>
                </c:pt>
                <c:pt idx="309">
                  <c:v>5.9257458349365846E-6</c:v>
                </c:pt>
                <c:pt idx="310">
                  <c:v>5.9732702593521716E-6</c:v>
                </c:pt>
                <c:pt idx="311">
                  <c:v>5.9732702593521716E-6</c:v>
                </c:pt>
                <c:pt idx="312">
                  <c:v>6.0206142707047161E-6</c:v>
                </c:pt>
                <c:pt idx="313">
                  <c:v>6.0206142707047161E-6</c:v>
                </c:pt>
                <c:pt idx="314">
                  <c:v>6.0676520189852032E-6</c:v>
                </c:pt>
                <c:pt idx="315">
                  <c:v>6.0676520189852032E-6</c:v>
                </c:pt>
                <c:pt idx="316">
                  <c:v>6.1141861071204129E-6</c:v>
                </c:pt>
                <c:pt idx="317">
                  <c:v>6.1141861071204129E-6</c:v>
                </c:pt>
                <c:pt idx="318">
                  <c:v>6.1599053299199331E-6</c:v>
                </c:pt>
                <c:pt idx="319">
                  <c:v>6.1599053299199331E-6</c:v>
                </c:pt>
                <c:pt idx="320">
                  <c:v>6.2043099395051304E-6</c:v>
                </c:pt>
                <c:pt idx="321">
                  <c:v>6.2043099395051304E-6</c:v>
                </c:pt>
                <c:pt idx="322">
                  <c:v>6.2465703580737764E-6</c:v>
                </c:pt>
                <c:pt idx="323">
                  <c:v>6.2465703580737764E-6</c:v>
                </c:pt>
                <c:pt idx="324">
                  <c:v>6.2852357112761438E-6</c:v>
                </c:pt>
                <c:pt idx="325">
                  <c:v>6.2852357112761438E-6</c:v>
                </c:pt>
                <c:pt idx="326">
                  <c:v>6.3175578122017829E-6</c:v>
                </c:pt>
                <c:pt idx="327">
                  <c:v>6.3175578122017829E-6</c:v>
                </c:pt>
                <c:pt idx="328">
                  <c:v>6.3377040449713538E-6</c:v>
                </c:pt>
                <c:pt idx="329">
                  <c:v>6.3377040449713538E-6</c:v>
                </c:pt>
                <c:pt idx="330">
                  <c:v>6.3400000000000003E-6</c:v>
                </c:pt>
                <c:pt idx="331">
                  <c:v>6.3400000000000003E-6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115.20000000000006</c:v>
                </c:pt>
                <c:pt idx="68">
                  <c:v>115.20000000000006</c:v>
                </c:pt>
                <c:pt idx="69">
                  <c:v>116.89800773406363</c:v>
                </c:pt>
                <c:pt idx="70">
                  <c:v>116.89800773406363</c:v>
                </c:pt>
                <c:pt idx="71">
                  <c:v>118.15554166418369</c:v>
                </c:pt>
                <c:pt idx="72">
                  <c:v>118.15554166418369</c:v>
                </c:pt>
                <c:pt idx="73">
                  <c:v>118.84256903409808</c:v>
                </c:pt>
                <c:pt idx="74">
                  <c:v>118.84256903409808</c:v>
                </c:pt>
                <c:pt idx="75">
                  <c:v>119.33655621395947</c:v>
                </c:pt>
                <c:pt idx="76">
                  <c:v>119.33655621395947</c:v>
                </c:pt>
                <c:pt idx="77">
                  <c:v>119.73050852478941</c:v>
                </c:pt>
                <c:pt idx="78">
                  <c:v>119.73050852478941</c:v>
                </c:pt>
                <c:pt idx="79">
                  <c:v>120.06326553127099</c:v>
                </c:pt>
                <c:pt idx="80">
                  <c:v>120.06326553127099</c:v>
                </c:pt>
                <c:pt idx="81">
                  <c:v>120.35502720074946</c:v>
                </c:pt>
                <c:pt idx="82">
                  <c:v>120.35502720074946</c:v>
                </c:pt>
                <c:pt idx="83">
                  <c:v>120.61774643318861</c:v>
                </c:pt>
                <c:pt idx="84">
                  <c:v>120.61774643318861</c:v>
                </c:pt>
                <c:pt idx="85">
                  <c:v>120.85914777433317</c:v>
                </c:pt>
                <c:pt idx="86">
                  <c:v>120.85914777433317</c:v>
                </c:pt>
                <c:pt idx="87">
                  <c:v>121.08456562694856</c:v>
                </c:pt>
                <c:pt idx="88">
                  <c:v>121.08456562694856</c:v>
                </c:pt>
                <c:pt idx="89">
                  <c:v>121.29788819438754</c:v>
                </c:pt>
                <c:pt idx="90">
                  <c:v>121.29788819438754</c:v>
                </c:pt>
                <c:pt idx="91">
                  <c:v>121.50208628500968</c:v>
                </c:pt>
                <c:pt idx="92">
                  <c:v>121.50208628500968</c:v>
                </c:pt>
                <c:pt idx="93">
                  <c:v>121.69953133315929</c:v>
                </c:pt>
                <c:pt idx="94">
                  <c:v>121.69953133315929</c:v>
                </c:pt>
                <c:pt idx="95">
                  <c:v>121.89219919333834</c:v>
                </c:pt>
                <c:pt idx="96">
                  <c:v>121.89219919333834</c:v>
                </c:pt>
                <c:pt idx="97">
                  <c:v>122.08180932070964</c:v>
                </c:pt>
                <c:pt idx="98">
                  <c:v>122.08180932070964</c:v>
                </c:pt>
                <c:pt idx="99">
                  <c:v>122.26992687963177</c:v>
                </c:pt>
                <c:pt idx="100">
                  <c:v>122.26992687963177</c:v>
                </c:pt>
                <c:pt idx="101">
                  <c:v>122.56746914114726</c:v>
                </c:pt>
                <c:pt idx="102">
                  <c:v>122.56746914114726</c:v>
                </c:pt>
                <c:pt idx="103">
                  <c:v>123.16255366417823</c:v>
                </c:pt>
                <c:pt idx="104">
                  <c:v>123.16255366417823</c:v>
                </c:pt>
                <c:pt idx="105">
                  <c:v>123.75763818720921</c:v>
                </c:pt>
                <c:pt idx="106">
                  <c:v>123.75763818720921</c:v>
                </c:pt>
                <c:pt idx="107">
                  <c:v>124.35272271024019</c:v>
                </c:pt>
                <c:pt idx="108">
                  <c:v>124.35272271024019</c:v>
                </c:pt>
                <c:pt idx="109">
                  <c:v>124.94780723327116</c:v>
                </c:pt>
                <c:pt idx="110">
                  <c:v>124.94780723327116</c:v>
                </c:pt>
                <c:pt idx="111">
                  <c:v>125.54289175630214</c:v>
                </c:pt>
                <c:pt idx="112">
                  <c:v>125.54289175630214</c:v>
                </c:pt>
                <c:pt idx="113">
                  <c:v>126.13797627933312</c:v>
                </c:pt>
                <c:pt idx="114">
                  <c:v>126.13797627933312</c:v>
                </c:pt>
                <c:pt idx="115">
                  <c:v>126.73306080236409</c:v>
                </c:pt>
                <c:pt idx="116">
                  <c:v>126.73306080236409</c:v>
                </c:pt>
                <c:pt idx="117">
                  <c:v>127.32814532539507</c:v>
                </c:pt>
                <c:pt idx="118">
                  <c:v>127.32814532539507</c:v>
                </c:pt>
                <c:pt idx="119">
                  <c:v>127.92322984842605</c:v>
                </c:pt>
                <c:pt idx="120">
                  <c:v>127.92322984842605</c:v>
                </c:pt>
                <c:pt idx="121">
                  <c:v>128.51831437145702</c:v>
                </c:pt>
                <c:pt idx="122">
                  <c:v>128.51831437145702</c:v>
                </c:pt>
                <c:pt idx="123">
                  <c:v>129.113398894488</c:v>
                </c:pt>
                <c:pt idx="124">
                  <c:v>129.113398894488</c:v>
                </c:pt>
                <c:pt idx="125">
                  <c:v>129.70848341751898</c:v>
                </c:pt>
                <c:pt idx="126">
                  <c:v>129.70848341751898</c:v>
                </c:pt>
                <c:pt idx="127">
                  <c:v>130.30356794054995</c:v>
                </c:pt>
                <c:pt idx="128">
                  <c:v>130.30356794054995</c:v>
                </c:pt>
                <c:pt idx="129">
                  <c:v>130.89865246358093</c:v>
                </c:pt>
                <c:pt idx="130">
                  <c:v>130.89865246358093</c:v>
                </c:pt>
                <c:pt idx="131">
                  <c:v>131.49373698661191</c:v>
                </c:pt>
                <c:pt idx="132">
                  <c:v>131.49373698661191</c:v>
                </c:pt>
                <c:pt idx="133">
                  <c:v>132.08882150964288</c:v>
                </c:pt>
                <c:pt idx="134">
                  <c:v>132.08882150964288</c:v>
                </c:pt>
                <c:pt idx="135">
                  <c:v>132.68390603267386</c:v>
                </c:pt>
                <c:pt idx="136">
                  <c:v>132.68390603267386</c:v>
                </c:pt>
                <c:pt idx="137">
                  <c:v>133.27899055570484</c:v>
                </c:pt>
                <c:pt idx="138">
                  <c:v>133.27899055570484</c:v>
                </c:pt>
                <c:pt idx="139">
                  <c:v>133.87407507873581</c:v>
                </c:pt>
                <c:pt idx="140">
                  <c:v>133.87407507873581</c:v>
                </c:pt>
                <c:pt idx="141">
                  <c:v>134.46915960176679</c:v>
                </c:pt>
                <c:pt idx="142">
                  <c:v>134.46915960176679</c:v>
                </c:pt>
                <c:pt idx="143">
                  <c:v>135.06424412479777</c:v>
                </c:pt>
                <c:pt idx="144">
                  <c:v>135.06424412479777</c:v>
                </c:pt>
                <c:pt idx="145">
                  <c:v>135.65932864782874</c:v>
                </c:pt>
                <c:pt idx="146">
                  <c:v>135.65932864782874</c:v>
                </c:pt>
                <c:pt idx="147">
                  <c:v>136.25441317085972</c:v>
                </c:pt>
                <c:pt idx="148">
                  <c:v>136.25441317085972</c:v>
                </c:pt>
                <c:pt idx="149">
                  <c:v>136.8494976938907</c:v>
                </c:pt>
                <c:pt idx="150">
                  <c:v>136.8494976938907</c:v>
                </c:pt>
                <c:pt idx="151">
                  <c:v>137.44458221692167</c:v>
                </c:pt>
                <c:pt idx="152">
                  <c:v>137.44458221692167</c:v>
                </c:pt>
                <c:pt idx="153">
                  <c:v>138.03966673995265</c:v>
                </c:pt>
                <c:pt idx="154">
                  <c:v>138.03966673995265</c:v>
                </c:pt>
                <c:pt idx="155">
                  <c:v>138.63475126298363</c:v>
                </c:pt>
                <c:pt idx="156">
                  <c:v>138.63475126298363</c:v>
                </c:pt>
                <c:pt idx="157">
                  <c:v>139.2298357860146</c:v>
                </c:pt>
                <c:pt idx="158">
                  <c:v>139.2298357860146</c:v>
                </c:pt>
                <c:pt idx="159">
                  <c:v>139.82492030904558</c:v>
                </c:pt>
                <c:pt idx="160">
                  <c:v>139.82492030904558</c:v>
                </c:pt>
                <c:pt idx="161">
                  <c:v>140.42000483207656</c:v>
                </c:pt>
                <c:pt idx="162">
                  <c:v>140.42000483207656</c:v>
                </c:pt>
                <c:pt idx="163">
                  <c:v>141.01508935510753</c:v>
                </c:pt>
                <c:pt idx="164">
                  <c:v>141.01508935510753</c:v>
                </c:pt>
                <c:pt idx="165">
                  <c:v>141.31263161662304</c:v>
                </c:pt>
                <c:pt idx="166">
                  <c:v>141.31263161662304</c:v>
                </c:pt>
                <c:pt idx="167">
                  <c:v>142.40373407875273</c:v>
                </c:pt>
                <c:pt idx="168">
                  <c:v>142.40373407875273</c:v>
                </c:pt>
                <c:pt idx="169">
                  <c:v>144.58593900301216</c:v>
                </c:pt>
                <c:pt idx="170">
                  <c:v>144.58593900301216</c:v>
                </c:pt>
                <c:pt idx="171">
                  <c:v>146.76814392727158</c:v>
                </c:pt>
                <c:pt idx="172">
                  <c:v>146.76814392727158</c:v>
                </c:pt>
                <c:pt idx="173">
                  <c:v>148.950348851531</c:v>
                </c:pt>
                <c:pt idx="174">
                  <c:v>148.950348851531</c:v>
                </c:pt>
                <c:pt idx="175">
                  <c:v>151.13255377579043</c:v>
                </c:pt>
                <c:pt idx="176">
                  <c:v>151.13255377579043</c:v>
                </c:pt>
                <c:pt idx="177">
                  <c:v>153.31475870004985</c:v>
                </c:pt>
                <c:pt idx="178">
                  <c:v>153.31475870004985</c:v>
                </c:pt>
                <c:pt idx="179">
                  <c:v>155.49696362430927</c:v>
                </c:pt>
                <c:pt idx="180">
                  <c:v>155.49696362430927</c:v>
                </c:pt>
                <c:pt idx="181">
                  <c:v>157.6791685485687</c:v>
                </c:pt>
                <c:pt idx="182">
                  <c:v>157.6791685485687</c:v>
                </c:pt>
                <c:pt idx="183">
                  <c:v>159.86137347282812</c:v>
                </c:pt>
                <c:pt idx="184">
                  <c:v>159.86137347282812</c:v>
                </c:pt>
                <c:pt idx="185">
                  <c:v>162.04357839708754</c:v>
                </c:pt>
                <c:pt idx="186">
                  <c:v>162.04357839708754</c:v>
                </c:pt>
                <c:pt idx="187">
                  <c:v>164.22578332134697</c:v>
                </c:pt>
                <c:pt idx="188">
                  <c:v>164.22578332134697</c:v>
                </c:pt>
                <c:pt idx="189">
                  <c:v>166.40798824560639</c:v>
                </c:pt>
                <c:pt idx="190">
                  <c:v>166.40798824560639</c:v>
                </c:pt>
                <c:pt idx="191">
                  <c:v>168.59019316986581</c:v>
                </c:pt>
                <c:pt idx="192">
                  <c:v>168.59019316986581</c:v>
                </c:pt>
                <c:pt idx="193">
                  <c:v>170.77239809412524</c:v>
                </c:pt>
                <c:pt idx="194">
                  <c:v>170.77239809412524</c:v>
                </c:pt>
                <c:pt idx="195">
                  <c:v>172.95460301838466</c:v>
                </c:pt>
                <c:pt idx="196">
                  <c:v>172.95460301838466</c:v>
                </c:pt>
                <c:pt idx="197">
                  <c:v>175.13680794264408</c:v>
                </c:pt>
                <c:pt idx="198">
                  <c:v>175.13680794264408</c:v>
                </c:pt>
                <c:pt idx="199">
                  <c:v>177.31901286690351</c:v>
                </c:pt>
                <c:pt idx="200">
                  <c:v>177.31901286690351</c:v>
                </c:pt>
                <c:pt idx="201">
                  <c:v>179.50121779116293</c:v>
                </c:pt>
                <c:pt idx="202">
                  <c:v>179.50121779116293</c:v>
                </c:pt>
                <c:pt idx="203">
                  <c:v>181.68342271542235</c:v>
                </c:pt>
                <c:pt idx="204">
                  <c:v>181.68342271542235</c:v>
                </c:pt>
                <c:pt idx="205">
                  <c:v>183.86562763968178</c:v>
                </c:pt>
                <c:pt idx="206">
                  <c:v>183.86562763968178</c:v>
                </c:pt>
                <c:pt idx="207">
                  <c:v>186.0478325639412</c:v>
                </c:pt>
                <c:pt idx="208">
                  <c:v>186.0478325639412</c:v>
                </c:pt>
                <c:pt idx="209">
                  <c:v>188.23003748820062</c:v>
                </c:pt>
                <c:pt idx="210">
                  <c:v>188.23003748820062</c:v>
                </c:pt>
                <c:pt idx="211">
                  <c:v>190.41224241246005</c:v>
                </c:pt>
                <c:pt idx="212">
                  <c:v>190.41224241246005</c:v>
                </c:pt>
                <c:pt idx="213">
                  <c:v>192.59444733671947</c:v>
                </c:pt>
                <c:pt idx="214">
                  <c:v>192.59444733671947</c:v>
                </c:pt>
                <c:pt idx="215">
                  <c:v>194.77665226097889</c:v>
                </c:pt>
                <c:pt idx="216">
                  <c:v>194.77665226097889</c:v>
                </c:pt>
                <c:pt idx="217">
                  <c:v>196.95885718523832</c:v>
                </c:pt>
                <c:pt idx="218">
                  <c:v>196.95885718523832</c:v>
                </c:pt>
                <c:pt idx="219">
                  <c:v>199.14106210949774</c:v>
                </c:pt>
                <c:pt idx="220">
                  <c:v>199.14106210949774</c:v>
                </c:pt>
                <c:pt idx="221">
                  <c:v>201.32326703375716</c:v>
                </c:pt>
                <c:pt idx="222">
                  <c:v>201.32326703375716</c:v>
                </c:pt>
                <c:pt idx="223">
                  <c:v>203.50547195801659</c:v>
                </c:pt>
                <c:pt idx="224">
                  <c:v>203.50547195801659</c:v>
                </c:pt>
                <c:pt idx="225">
                  <c:v>205.68767688227601</c:v>
                </c:pt>
                <c:pt idx="226">
                  <c:v>205.68767688227601</c:v>
                </c:pt>
                <c:pt idx="227">
                  <c:v>207.86988180653543</c:v>
                </c:pt>
                <c:pt idx="228">
                  <c:v>207.86988180653543</c:v>
                </c:pt>
                <c:pt idx="229">
                  <c:v>210.05208673079485</c:v>
                </c:pt>
                <c:pt idx="230">
                  <c:v>210.05208673079485</c:v>
                </c:pt>
                <c:pt idx="231">
                  <c:v>211.14318919292455</c:v>
                </c:pt>
                <c:pt idx="232">
                  <c:v>211.14318919292455</c:v>
                </c:pt>
                <c:pt idx="233">
                  <c:v>213.58244555388384</c:v>
                </c:pt>
                <c:pt idx="234">
                  <c:v>213.58244555388384</c:v>
                </c:pt>
                <c:pt idx="235">
                  <c:v>216.04105554192961</c:v>
                </c:pt>
                <c:pt idx="236">
                  <c:v>216.04105554192961</c:v>
                </c:pt>
                <c:pt idx="237">
                  <c:v>218.53931411059801</c:v>
                </c:pt>
                <c:pt idx="238">
                  <c:v>218.53931411059801</c:v>
                </c:pt>
                <c:pt idx="239">
                  <c:v>221.09951684977023</c:v>
                </c:pt>
                <c:pt idx="240">
                  <c:v>221.09951684977023</c:v>
                </c:pt>
                <c:pt idx="241">
                  <c:v>223.74728399229409</c:v>
                </c:pt>
                <c:pt idx="242">
                  <c:v>223.74728399229409</c:v>
                </c:pt>
                <c:pt idx="243">
                  <c:v>226.51336512019722</c:v>
                </c:pt>
                <c:pt idx="244">
                  <c:v>226.51336512019722</c:v>
                </c:pt>
                <c:pt idx="245">
                  <c:v>229.43628169436721</c:v>
                </c:pt>
                <c:pt idx="246">
                  <c:v>229.43628169436721</c:v>
                </c:pt>
                <c:pt idx="247">
                  <c:v>232.56645072433372</c:v>
                </c:pt>
                <c:pt idx="248">
                  <c:v>232.56645072433372</c:v>
                </c:pt>
                <c:pt idx="249">
                  <c:v>235.97304159519879</c:v>
                </c:pt>
                <c:pt idx="250">
                  <c:v>235.97304159519879</c:v>
                </c:pt>
                <c:pt idx="251">
                  <c:v>239.7562158625945</c:v>
                </c:pt>
                <c:pt idx="252">
                  <c:v>239.7562158625945</c:v>
                </c:pt>
                <c:pt idx="253">
                  <c:v>244.07096271219595</c:v>
                </c:pt>
                <c:pt idx="254">
                  <c:v>244.07096271219595</c:v>
                </c:pt>
                <c:pt idx="255">
                  <c:v>249.17920824553477</c:v>
                </c:pt>
                <c:pt idx="256">
                  <c:v>249.17920824553477</c:v>
                </c:pt>
                <c:pt idx="257">
                  <c:v>255.58457187885747</c:v>
                </c:pt>
                <c:pt idx="258">
                  <c:v>255.58457187885747</c:v>
                </c:pt>
                <c:pt idx="259">
                  <c:v>264.49302195560199</c:v>
                </c:pt>
                <c:pt idx="260">
                  <c:v>264.49302195560199</c:v>
                </c:pt>
                <c:pt idx="261">
                  <c:v>280.79903642731483</c:v>
                </c:pt>
                <c:pt idx="262">
                  <c:v>280.79903642731483</c:v>
                </c:pt>
                <c:pt idx="263">
                  <c:v>302.81652480003601</c:v>
                </c:pt>
                <c:pt idx="264">
                  <c:v>302.81652480003601</c:v>
                </c:pt>
                <c:pt idx="265">
                  <c:v>1061.9980728557539</c:v>
                </c:pt>
                <c:pt idx="266">
                  <c:v>1061.9980728557539</c:v>
                </c:pt>
                <c:pt idx="267">
                  <c:v>1084.4391437829977</c:v>
                </c:pt>
                <c:pt idx="268">
                  <c:v>1084.4391437829977</c:v>
                </c:pt>
                <c:pt idx="269">
                  <c:v>1101.0588608508963</c:v>
                </c:pt>
                <c:pt idx="270">
                  <c:v>1101.0588608508963</c:v>
                </c:pt>
                <c:pt idx="271">
                  <c:v>1110.1386957821012</c:v>
                </c:pt>
                <c:pt idx="272">
                  <c:v>1110.1386957821012</c:v>
                </c:pt>
                <c:pt idx="273">
                  <c:v>1116.6672887431528</c:v>
                </c:pt>
                <c:pt idx="274">
                  <c:v>1116.6672887431528</c:v>
                </c:pt>
                <c:pt idx="275">
                  <c:v>1121.8738090504128</c:v>
                </c:pt>
                <c:pt idx="276">
                  <c:v>1121.8738090504128</c:v>
                </c:pt>
                <c:pt idx="277">
                  <c:v>1126.2715649817828</c:v>
                </c:pt>
                <c:pt idx="278">
                  <c:v>1126.2715649817828</c:v>
                </c:pt>
                <c:pt idx="279">
                  <c:v>1130.1275216934455</c:v>
                </c:pt>
                <c:pt idx="280">
                  <c:v>1130.1275216934455</c:v>
                </c:pt>
                <c:pt idx="281">
                  <c:v>1133.5996501242205</c:v>
                </c:pt>
                <c:pt idx="282">
                  <c:v>1133.5996501242205</c:v>
                </c:pt>
                <c:pt idx="283">
                  <c:v>1136.790038783754</c:v>
                </c:pt>
                <c:pt idx="284">
                  <c:v>1136.790038783754</c:v>
                </c:pt>
                <c:pt idx="285">
                  <c:v>1139.7691877695499</c:v>
                </c:pt>
                <c:pt idx="286">
                  <c:v>1139.7691877695499</c:v>
                </c:pt>
                <c:pt idx="287">
                  <c:v>1142.588484036725</c:v>
                </c:pt>
                <c:pt idx="288">
                  <c:v>1142.588484036725</c:v>
                </c:pt>
                <c:pt idx="289">
                  <c:v>1145.2871901397255</c:v>
                </c:pt>
                <c:pt idx="290">
                  <c:v>1145.2871901397255</c:v>
                </c:pt>
                <c:pt idx="291">
                  <c:v>1147.8966472351619</c:v>
                </c:pt>
                <c:pt idx="292">
                  <c:v>1147.8966472351619</c:v>
                </c:pt>
                <c:pt idx="293">
                  <c:v>1150.4429684496899</c:v>
                </c:pt>
                <c:pt idx="294">
                  <c:v>1150.4429684496899</c:v>
                </c:pt>
                <c:pt idx="295">
                  <c:v>1152.9488783059896</c:v>
                </c:pt>
                <c:pt idx="296">
                  <c:v>1152.9488783059896</c:v>
                </c:pt>
                <c:pt idx="297">
                  <c:v>1155.4350622012353</c:v>
                </c:pt>
                <c:pt idx="298">
                  <c:v>1155.4350622012353</c:v>
                </c:pt>
                <c:pt idx="299">
                  <c:v>1157.9212460964809</c:v>
                </c:pt>
                <c:pt idx="300">
                  <c:v>1157.9212460964809</c:v>
                </c:pt>
                <c:pt idx="301">
                  <c:v>1160.4271559527806</c:v>
                </c:pt>
                <c:pt idx="302">
                  <c:v>1160.4271559527806</c:v>
                </c:pt>
                <c:pt idx="303">
                  <c:v>1162.9734771673086</c:v>
                </c:pt>
                <c:pt idx="304">
                  <c:v>1162.9734771673086</c:v>
                </c:pt>
                <c:pt idx="305">
                  <c:v>1165.5829342627451</c:v>
                </c:pt>
                <c:pt idx="306">
                  <c:v>1165.5829342627451</c:v>
                </c:pt>
                <c:pt idx="307">
                  <c:v>1168.2816403657455</c:v>
                </c:pt>
                <c:pt idx="308">
                  <c:v>1168.2816403657455</c:v>
                </c:pt>
                <c:pt idx="309">
                  <c:v>1171.1009366329206</c:v>
                </c:pt>
                <c:pt idx="310">
                  <c:v>1171.1009366329206</c:v>
                </c:pt>
                <c:pt idx="311">
                  <c:v>1174.0800856187166</c:v>
                </c:pt>
                <c:pt idx="312">
                  <c:v>1174.0800856187166</c:v>
                </c:pt>
                <c:pt idx="313">
                  <c:v>1177.27047427825</c:v>
                </c:pt>
                <c:pt idx="314">
                  <c:v>1177.27047427825</c:v>
                </c:pt>
                <c:pt idx="315">
                  <c:v>1180.742602709025</c:v>
                </c:pt>
                <c:pt idx="316">
                  <c:v>1180.742602709025</c:v>
                </c:pt>
                <c:pt idx="317">
                  <c:v>1184.5985594206877</c:v>
                </c:pt>
                <c:pt idx="318">
                  <c:v>1184.5985594206877</c:v>
                </c:pt>
                <c:pt idx="319">
                  <c:v>1188.9963153520578</c:v>
                </c:pt>
                <c:pt idx="320">
                  <c:v>1188.9963153520578</c:v>
                </c:pt>
                <c:pt idx="321">
                  <c:v>1194.2028356593178</c:v>
                </c:pt>
                <c:pt idx="322">
                  <c:v>1194.2028356593178</c:v>
                </c:pt>
                <c:pt idx="323">
                  <c:v>1200.7314286203693</c:v>
                </c:pt>
                <c:pt idx="324">
                  <c:v>1200.7314286203693</c:v>
                </c:pt>
                <c:pt idx="325">
                  <c:v>1209.8112635515743</c:v>
                </c:pt>
                <c:pt idx="326">
                  <c:v>1209.8112635515743</c:v>
                </c:pt>
                <c:pt idx="327">
                  <c:v>1226.4309806194728</c:v>
                </c:pt>
                <c:pt idx="328">
                  <c:v>1226.4309806194728</c:v>
                </c:pt>
                <c:pt idx="329">
                  <c:v>1248.8720515467166</c:v>
                </c:pt>
                <c:pt idx="330">
                  <c:v>1248.8720515467166</c:v>
                </c:pt>
                <c:pt idx="331">
                  <c:v>1448.8720515467166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3.1955854398194677E-6</c:v>
                </c:pt>
                <c:pt idx="69">
                  <c:v>3.1955854398194677E-6</c:v>
                </c:pt>
                <c:pt idx="70">
                  <c:v>3.1568491597692759E-6</c:v>
                </c:pt>
                <c:pt idx="71">
                  <c:v>3.1568491597692759E-6</c:v>
                </c:pt>
                <c:pt idx="72">
                  <c:v>3.0947016621409781E-6</c:v>
                </c:pt>
                <c:pt idx="73">
                  <c:v>3.0947016621409781E-6</c:v>
                </c:pt>
                <c:pt idx="74">
                  <c:v>3.0203576412504464E-6</c:v>
                </c:pt>
                <c:pt idx="75">
                  <c:v>3.0203576412504464E-6</c:v>
                </c:pt>
                <c:pt idx="76">
                  <c:v>2.939101188620458E-6</c:v>
                </c:pt>
                <c:pt idx="77">
                  <c:v>2.939101188620458E-6</c:v>
                </c:pt>
                <c:pt idx="78">
                  <c:v>2.8537219809003147E-6</c:v>
                </c:pt>
                <c:pt idx="79">
                  <c:v>2.8537219809003147E-6</c:v>
                </c:pt>
                <c:pt idx="80">
                  <c:v>2.7658150933796752E-6</c:v>
                </c:pt>
                <c:pt idx="81">
                  <c:v>2.7658150933796752E-6</c:v>
                </c:pt>
                <c:pt idx="82">
                  <c:v>2.6763414190454655E-6</c:v>
                </c:pt>
                <c:pt idx="83">
                  <c:v>2.6763414190454655E-6</c:v>
                </c:pt>
                <c:pt idx="84">
                  <c:v>2.5858993293920895E-6</c:v>
                </c:pt>
                <c:pt idx="85">
                  <c:v>2.5858993293920895E-6</c:v>
                </c:pt>
                <c:pt idx="86">
                  <c:v>2.4948683707296052E-6</c:v>
                </c:pt>
                <c:pt idx="87">
                  <c:v>2.4948683707296052E-6</c:v>
                </c:pt>
                <c:pt idx="88">
                  <c:v>2.4034905218561989E-6</c:v>
                </c:pt>
                <c:pt idx="89">
                  <c:v>2.4034905218561989E-6</c:v>
                </c:pt>
                <c:pt idx="90">
                  <c:v>2.3119186588142591E-6</c:v>
                </c:pt>
                <c:pt idx="91">
                  <c:v>2.3119186588142591E-6</c:v>
                </c:pt>
                <c:pt idx="92">
                  <c:v>2.2202467868688178E-6</c:v>
                </c:pt>
                <c:pt idx="93">
                  <c:v>2.2202467868688178E-6</c:v>
                </c:pt>
                <c:pt idx="94">
                  <c:v>2.1285296827316225E-6</c:v>
                </c:pt>
                <c:pt idx="95">
                  <c:v>2.1285296827316225E-6</c:v>
                </c:pt>
                <c:pt idx="96">
                  <c:v>2.0367961922619296E-6</c:v>
                </c:pt>
                <c:pt idx="97">
                  <c:v>2.0367961922619296E-6</c:v>
                </c:pt>
                <c:pt idx="98">
                  <c:v>1.9450586663552181E-6</c:v>
                </c:pt>
                <c:pt idx="99">
                  <c:v>1.9450586663552181E-6</c:v>
                </c:pt>
                <c:pt idx="100">
                  <c:v>1.8423565420078838E-6</c:v>
                </c:pt>
                <c:pt idx="101">
                  <c:v>1.8423565420078838E-6</c:v>
                </c:pt>
                <c:pt idx="102">
                  <c:v>1.6304025517864546E-6</c:v>
                </c:pt>
                <c:pt idx="103">
                  <c:v>1.6304025517864546E-6</c:v>
                </c:pt>
                <c:pt idx="104">
                  <c:v>1.3686966860942675E-6</c:v>
                </c:pt>
                <c:pt idx="105">
                  <c:v>1.3686966860942675E-6</c:v>
                </c:pt>
                <c:pt idx="106">
                  <c:v>1.1460372555715319E-6</c:v>
                </c:pt>
                <c:pt idx="107">
                  <c:v>1.1460372555715319E-6</c:v>
                </c:pt>
                <c:pt idx="108">
                  <c:v>9.7156022451655253E-7</c:v>
                </c:pt>
                <c:pt idx="109">
                  <c:v>9.7156022451655253E-7</c:v>
                </c:pt>
                <c:pt idx="110">
                  <c:v>8.461449228700743E-7</c:v>
                </c:pt>
                <c:pt idx="111">
                  <c:v>8.461449228700743E-7</c:v>
                </c:pt>
                <c:pt idx="112">
                  <c:v>7.6420206041025436E-7</c:v>
                </c:pt>
                <c:pt idx="113">
                  <c:v>7.6420206041025436E-7</c:v>
                </c:pt>
                <c:pt idx="114">
                  <c:v>7.1663633290930609E-7</c:v>
                </c:pt>
                <c:pt idx="115">
                  <c:v>7.1663633290930609E-7</c:v>
                </c:pt>
                <c:pt idx="116">
                  <c:v>6.9373215357588042E-7</c:v>
                </c:pt>
                <c:pt idx="117">
                  <c:v>6.9373215357588042E-7</c:v>
                </c:pt>
                <c:pt idx="118">
                  <c:v>6.8712971494196221E-7</c:v>
                </c:pt>
                <c:pt idx="119">
                  <c:v>6.8712971494196221E-7</c:v>
                </c:pt>
                <c:pt idx="120">
                  <c:v>6.9067567611203988E-7</c:v>
                </c:pt>
                <c:pt idx="121">
                  <c:v>6.9067567611203988E-7</c:v>
                </c:pt>
                <c:pt idx="122">
                  <c:v>7.0039820275334871E-7</c:v>
                </c:pt>
                <c:pt idx="123">
                  <c:v>7.0039820275334871E-7</c:v>
                </c:pt>
                <c:pt idx="124">
                  <c:v>7.1402728795994694E-7</c:v>
                </c:pt>
                <c:pt idx="125">
                  <c:v>7.1402728795994694E-7</c:v>
                </c:pt>
                <c:pt idx="126">
                  <c:v>7.304171642413913E-7</c:v>
                </c:pt>
                <c:pt idx="127">
                  <c:v>7.304171642413913E-7</c:v>
                </c:pt>
                <c:pt idx="128">
                  <c:v>7.4906893231713921E-7</c:v>
                </c:pt>
                <c:pt idx="129">
                  <c:v>7.4906893231713921E-7</c:v>
                </c:pt>
                <c:pt idx="130">
                  <c:v>7.6981071350181707E-7</c:v>
                </c:pt>
                <c:pt idx="131">
                  <c:v>7.6981071350181707E-7</c:v>
                </c:pt>
                <c:pt idx="132">
                  <c:v>7.9261380457296351E-7</c:v>
                </c:pt>
                <c:pt idx="133">
                  <c:v>7.9261380457296351E-7</c:v>
                </c:pt>
                <c:pt idx="134">
                  <c:v>8.1749928172529403E-7</c:v>
                </c:pt>
                <c:pt idx="135">
                  <c:v>8.1749928172529403E-7</c:v>
                </c:pt>
                <c:pt idx="136">
                  <c:v>8.4449503294503625E-7</c:v>
                </c:pt>
                <c:pt idx="137">
                  <c:v>8.4449503294503625E-7</c:v>
                </c:pt>
                <c:pt idx="138">
                  <c:v>8.7361726554170874E-7</c:v>
                </c:pt>
                <c:pt idx="139">
                  <c:v>8.7361726554170874E-7</c:v>
                </c:pt>
                <c:pt idx="140">
                  <c:v>9.0486263727406651E-7</c:v>
                </c:pt>
                <c:pt idx="141">
                  <c:v>9.0486263727406651E-7</c:v>
                </c:pt>
                <c:pt idx="142">
                  <c:v>9.3820467653694985E-7</c:v>
                </c:pt>
                <c:pt idx="143">
                  <c:v>9.3820467653694985E-7</c:v>
                </c:pt>
                <c:pt idx="144">
                  <c:v>9.7359197006992953E-7</c:v>
                </c:pt>
                <c:pt idx="145">
                  <c:v>9.7359197006992953E-7</c:v>
                </c:pt>
                <c:pt idx="146">
                  <c:v>1.0109472478331438E-6</c:v>
                </c:pt>
                <c:pt idx="147">
                  <c:v>1.0109472478331438E-6</c:v>
                </c:pt>
                <c:pt idx="148">
                  <c:v>1.0501671151502316E-6</c:v>
                </c:pt>
                <c:pt idx="149">
                  <c:v>1.0501671151502316E-6</c:v>
                </c:pt>
                <c:pt idx="150">
                  <c:v>1.0911223817082227E-6</c:v>
                </c:pt>
                <c:pt idx="151">
                  <c:v>1.0911223817082227E-6</c:v>
                </c:pt>
                <c:pt idx="152">
                  <c:v>1.1336589853332918E-6</c:v>
                </c:pt>
                <c:pt idx="153">
                  <c:v>1.1336589853332918E-6</c:v>
                </c:pt>
                <c:pt idx="154">
                  <c:v>1.1775995081552932E-6</c:v>
                </c:pt>
                <c:pt idx="155">
                  <c:v>1.1775995081552932E-6</c:v>
                </c:pt>
                <c:pt idx="156">
                  <c:v>1.2227452682968356E-6</c:v>
                </c:pt>
                <c:pt idx="157">
                  <c:v>1.2227452682968356E-6</c:v>
                </c:pt>
                <c:pt idx="158">
                  <c:v>1.2688789523449335E-6</c:v>
                </c:pt>
                <c:pt idx="159">
                  <c:v>1.2688789523449335E-6</c:v>
                </c:pt>
                <c:pt idx="160">
                  <c:v>1.3157677359500882E-6</c:v>
                </c:pt>
                <c:pt idx="161">
                  <c:v>1.3157677359500882E-6</c:v>
                </c:pt>
                <c:pt idx="162">
                  <c:v>1.3631668234903092E-6</c:v>
                </c:pt>
                <c:pt idx="163">
                  <c:v>1.3631668234903092E-6</c:v>
                </c:pt>
                <c:pt idx="164">
                  <c:v>1.3988990854759866E-6</c:v>
                </c:pt>
                <c:pt idx="165">
                  <c:v>1.3988990854759866E-6</c:v>
                </c:pt>
                <c:pt idx="166">
                  <c:v>1.4709049444146454E-6</c:v>
                </c:pt>
                <c:pt idx="167">
                  <c:v>1.4709049444146454E-6</c:v>
                </c:pt>
                <c:pt idx="168">
                  <c:v>1.6030046677395911E-6</c:v>
                </c:pt>
                <c:pt idx="169">
                  <c:v>1.6030046677395911E-6</c:v>
                </c:pt>
                <c:pt idx="170">
                  <c:v>1.7684675961779119E-6</c:v>
                </c:pt>
                <c:pt idx="171">
                  <c:v>1.7684675961779119E-6</c:v>
                </c:pt>
                <c:pt idx="172">
                  <c:v>1.9132451864375687E-6</c:v>
                </c:pt>
                <c:pt idx="173">
                  <c:v>1.9132451864375687E-6</c:v>
                </c:pt>
                <c:pt idx="174">
                  <c:v>2.0320137628318913E-6</c:v>
                </c:pt>
                <c:pt idx="175">
                  <c:v>2.0320137628318913E-6</c:v>
                </c:pt>
                <c:pt idx="176">
                  <c:v>2.1239565652832429E-6</c:v>
                </c:pt>
                <c:pt idx="177">
                  <c:v>2.1239565652832429E-6</c:v>
                </c:pt>
                <c:pt idx="178">
                  <c:v>2.1919567571950794E-6</c:v>
                </c:pt>
                <c:pt idx="179">
                  <c:v>2.1919567571950794E-6</c:v>
                </c:pt>
                <c:pt idx="180">
                  <c:v>2.2411083581913575E-6</c:v>
                </c:pt>
                <c:pt idx="181">
                  <c:v>2.2411083581913575E-6</c:v>
                </c:pt>
                <c:pt idx="182">
                  <c:v>2.2771618807876642E-6</c:v>
                </c:pt>
                <c:pt idx="183">
                  <c:v>2.2771618807876642E-6</c:v>
                </c:pt>
                <c:pt idx="184">
                  <c:v>2.3053618111098581E-6</c:v>
                </c:pt>
                <c:pt idx="185">
                  <c:v>2.3053618111098581E-6</c:v>
                </c:pt>
                <c:pt idx="186">
                  <c:v>2.3298479718071053E-6</c:v>
                </c:pt>
                <c:pt idx="187">
                  <c:v>2.3298479718071053E-6</c:v>
                </c:pt>
                <c:pt idx="188">
                  <c:v>2.3535467586726149E-6</c:v>
                </c:pt>
                <c:pt idx="189">
                  <c:v>2.3535467586726149E-6</c:v>
                </c:pt>
                <c:pt idx="190">
                  <c:v>2.3783586800379564E-6</c:v>
                </c:pt>
                <c:pt idx="191">
                  <c:v>2.3783586800379564E-6</c:v>
                </c:pt>
                <c:pt idx="192">
                  <c:v>2.4054502036974994E-6</c:v>
                </c:pt>
                <c:pt idx="193">
                  <c:v>2.4054502036974994E-6</c:v>
                </c:pt>
                <c:pt idx="194">
                  <c:v>2.4355240354507916E-6</c:v>
                </c:pt>
                <c:pt idx="195">
                  <c:v>2.4355240354507916E-6</c:v>
                </c:pt>
                <c:pt idx="196">
                  <c:v>2.4690154042869726E-6</c:v>
                </c:pt>
                <c:pt idx="197">
                  <c:v>2.4690154042869726E-6</c:v>
                </c:pt>
                <c:pt idx="198">
                  <c:v>2.5062118110839147E-6</c:v>
                </c:pt>
                <c:pt idx="199">
                  <c:v>2.5062118110839147E-6</c:v>
                </c:pt>
                <c:pt idx="200">
                  <c:v>2.547315489125022E-6</c:v>
                </c:pt>
                <c:pt idx="201">
                  <c:v>2.547315489125022E-6</c:v>
                </c:pt>
                <c:pt idx="202">
                  <c:v>2.5924706207367805E-6</c:v>
                </c:pt>
                <c:pt idx="203">
                  <c:v>2.5924706207367805E-6</c:v>
                </c:pt>
                <c:pt idx="204">
                  <c:v>2.6417719872862111E-6</c:v>
                </c:pt>
                <c:pt idx="205">
                  <c:v>2.6417719872862111E-6</c:v>
                </c:pt>
                <c:pt idx="206">
                  <c:v>2.6952652209887088E-6</c:v>
                </c:pt>
                <c:pt idx="207">
                  <c:v>2.6952652209887088E-6</c:v>
                </c:pt>
                <c:pt idx="208">
                  <c:v>2.7529440065830718E-6</c:v>
                </c:pt>
                <c:pt idx="209">
                  <c:v>2.7529440065830718E-6</c:v>
                </c:pt>
                <c:pt idx="210">
                  <c:v>2.8147467666311462E-6</c:v>
                </c:pt>
                <c:pt idx="211">
                  <c:v>2.8147467666311462E-6</c:v>
                </c:pt>
                <c:pt idx="212">
                  <c:v>2.8805539655557796E-6</c:v>
                </c:pt>
                <c:pt idx="213">
                  <c:v>2.8805539655557796E-6</c:v>
                </c:pt>
                <c:pt idx="214">
                  <c:v>2.9501865468661812E-6</c:v>
                </c:pt>
                <c:pt idx="215">
                  <c:v>2.9501865468661812E-6</c:v>
                </c:pt>
                <c:pt idx="216">
                  <c:v>3.0234057547512243E-6</c:v>
                </c:pt>
                <c:pt idx="217">
                  <c:v>3.0234057547512243E-6</c:v>
                </c:pt>
                <c:pt idx="218">
                  <c:v>3.099914468293342E-6</c:v>
                </c:pt>
                <c:pt idx="219">
                  <c:v>3.099914468293342E-6</c:v>
                </c:pt>
                <c:pt idx="220">
                  <c:v>3.1793601004096905E-6</c:v>
                </c:pt>
                <c:pt idx="221">
                  <c:v>3.1793601004096905E-6</c:v>
                </c:pt>
                <c:pt idx="222">
                  <c:v>3.261339050307509E-6</c:v>
                </c:pt>
                <c:pt idx="223">
                  <c:v>3.261339050307509E-6</c:v>
                </c:pt>
                <c:pt idx="224">
                  <c:v>3.3454026382433922E-6</c:v>
                </c:pt>
                <c:pt idx="225">
                  <c:v>3.3454026382433922E-6</c:v>
                </c:pt>
                <c:pt idx="226">
                  <c:v>3.4310643939199862E-6</c:v>
                </c:pt>
                <c:pt idx="227">
                  <c:v>3.4310643939199862E-6</c:v>
                </c:pt>
                <c:pt idx="228">
                  <c:v>3.517808516971421E-6</c:v>
                </c:pt>
                <c:pt idx="229">
                  <c:v>3.517808516971421E-6</c:v>
                </c:pt>
                <c:pt idx="230">
                  <c:v>3.5832551082468435E-6</c:v>
                </c:pt>
                <c:pt idx="231">
                  <c:v>3.5832551082468435E-6</c:v>
                </c:pt>
                <c:pt idx="232">
                  <c:v>3.6538254000930409E-6</c:v>
                </c:pt>
                <c:pt idx="233">
                  <c:v>3.6538254000930409E-6</c:v>
                </c:pt>
                <c:pt idx="234">
                  <c:v>3.7512768122485785E-6</c:v>
                </c:pt>
                <c:pt idx="235">
                  <c:v>3.7512768122485785E-6</c:v>
                </c:pt>
                <c:pt idx="236">
                  <c:v>3.8487239376192675E-6</c:v>
                </c:pt>
                <c:pt idx="237">
                  <c:v>3.8487239376192675E-6</c:v>
                </c:pt>
                <c:pt idx="238">
                  <c:v>3.9461536560321585E-6</c:v>
                </c:pt>
                <c:pt idx="239">
                  <c:v>3.9461536560321585E-6</c:v>
                </c:pt>
                <c:pt idx="240">
                  <c:v>4.0435353249591083E-6</c:v>
                </c:pt>
                <c:pt idx="241">
                  <c:v>4.0435353249591083E-6</c:v>
                </c:pt>
                <c:pt idx="242">
                  <c:v>4.1408107559122515E-6</c:v>
                </c:pt>
                <c:pt idx="243">
                  <c:v>4.1408107559122515E-6</c:v>
                </c:pt>
                <c:pt idx="244">
                  <c:v>4.2378800884938188E-6</c:v>
                </c:pt>
                <c:pt idx="245">
                  <c:v>4.2378800884938188E-6</c:v>
                </c:pt>
                <c:pt idx="246">
                  <c:v>4.334580924753046E-6</c:v>
                </c:pt>
                <c:pt idx="247">
                  <c:v>4.334580924753046E-6</c:v>
                </c:pt>
                <c:pt idx="248">
                  <c:v>4.4306562142041912E-6</c:v>
                </c:pt>
                <c:pt idx="249">
                  <c:v>4.4306562142041912E-6</c:v>
                </c:pt>
                <c:pt idx="250">
                  <c:v>4.5257027704354997E-6</c:v>
                </c:pt>
                <c:pt idx="251">
                  <c:v>4.5257027704354997E-6</c:v>
                </c:pt>
                <c:pt idx="252">
                  <c:v>4.6190849522898022E-6</c:v>
                </c:pt>
                <c:pt idx="253">
                  <c:v>4.6190849522898022E-6</c:v>
                </c:pt>
                <c:pt idx="254">
                  <c:v>4.7097820174091505E-6</c:v>
                </c:pt>
                <c:pt idx="255">
                  <c:v>4.7097820174091505E-6</c:v>
                </c:pt>
                <c:pt idx="256">
                  <c:v>4.7960995409882631E-6</c:v>
                </c:pt>
                <c:pt idx="257">
                  <c:v>4.7960995409882631E-6</c:v>
                </c:pt>
                <c:pt idx="258">
                  <c:v>4.8750740909283879E-6</c:v>
                </c:pt>
                <c:pt idx="259">
                  <c:v>4.8750740909283879E-6</c:v>
                </c:pt>
                <c:pt idx="260">
                  <c:v>4.9410924552340617E-6</c:v>
                </c:pt>
                <c:pt idx="261">
                  <c:v>4.9410924552340617E-6</c:v>
                </c:pt>
                <c:pt idx="262">
                  <c:v>4.9822414305877503E-6</c:v>
                </c:pt>
                <c:pt idx="263">
                  <c:v>4.9822414305877503E-6</c:v>
                </c:pt>
                <c:pt idx="264">
                  <c:v>4.9869309523443749E-6</c:v>
                </c:pt>
                <c:pt idx="265">
                  <c:v>4.9869309523443749E-6</c:v>
                </c:pt>
                <c:pt idx="266">
                  <c:v>4.9892269073730205E-6</c:v>
                </c:pt>
                <c:pt idx="267">
                  <c:v>4.9892269073730205E-6</c:v>
                </c:pt>
                <c:pt idx="268">
                  <c:v>5.0093731401425923E-6</c:v>
                </c:pt>
                <c:pt idx="269">
                  <c:v>5.0093731401425923E-6</c:v>
                </c:pt>
                <c:pt idx="270">
                  <c:v>5.0416952410682306E-6</c:v>
                </c:pt>
                <c:pt idx="271">
                  <c:v>5.0416952410682306E-6</c:v>
                </c:pt>
                <c:pt idx="272">
                  <c:v>5.0803605942705987E-6</c:v>
                </c:pt>
                <c:pt idx="273">
                  <c:v>5.0803605942705987E-6</c:v>
                </c:pt>
                <c:pt idx="274">
                  <c:v>5.1226210128392448E-6</c:v>
                </c:pt>
                <c:pt idx="275">
                  <c:v>5.1226210128392448E-6</c:v>
                </c:pt>
                <c:pt idx="276">
                  <c:v>5.1670256224244412E-6</c:v>
                </c:pt>
                <c:pt idx="277">
                  <c:v>5.1670256224244412E-6</c:v>
                </c:pt>
                <c:pt idx="278">
                  <c:v>5.2127448452239615E-6</c:v>
                </c:pt>
                <c:pt idx="279">
                  <c:v>5.2127448452239615E-6</c:v>
                </c:pt>
                <c:pt idx="280">
                  <c:v>5.2592789333591711E-6</c:v>
                </c:pt>
                <c:pt idx="281">
                  <c:v>5.2592789333591711E-6</c:v>
                </c:pt>
                <c:pt idx="282">
                  <c:v>5.3063166816396583E-6</c:v>
                </c:pt>
                <c:pt idx="283">
                  <c:v>5.3063166816396583E-6</c:v>
                </c:pt>
                <c:pt idx="284">
                  <c:v>5.3536606929922028E-6</c:v>
                </c:pt>
                <c:pt idx="285">
                  <c:v>5.3536606929922028E-6</c:v>
                </c:pt>
                <c:pt idx="286">
                  <c:v>5.4011851174077898E-6</c:v>
                </c:pt>
                <c:pt idx="287">
                  <c:v>5.4011851174077898E-6</c:v>
                </c:pt>
                <c:pt idx="288">
                  <c:v>5.4488104460556579E-6</c:v>
                </c:pt>
                <c:pt idx="289">
                  <c:v>5.4488104460556579E-6</c:v>
                </c:pt>
                <c:pt idx="290">
                  <c:v>5.4964877880266002E-6</c:v>
                </c:pt>
                <c:pt idx="291">
                  <c:v>5.4964877880266002E-6</c:v>
                </c:pt>
                <c:pt idx="292">
                  <c:v>5.5441886546690543E-6</c:v>
                </c:pt>
                <c:pt idx="293">
                  <c:v>5.5441886546690543E-6</c:v>
                </c:pt>
                <c:pt idx="294">
                  <c:v>5.591898043628786E-6</c:v>
                </c:pt>
                <c:pt idx="295">
                  <c:v>5.591898043628786E-6</c:v>
                </c:pt>
                <c:pt idx="296">
                  <c:v>5.6396095313665469E-6</c:v>
                </c:pt>
                <c:pt idx="297">
                  <c:v>5.6396095313665469E-6</c:v>
                </c:pt>
                <c:pt idx="298">
                  <c:v>5.6873214209778283E-6</c:v>
                </c:pt>
                <c:pt idx="299">
                  <c:v>5.6873214209778283E-6</c:v>
                </c:pt>
                <c:pt idx="300">
                  <c:v>5.7350329087155883E-6</c:v>
                </c:pt>
                <c:pt idx="301">
                  <c:v>5.7350329087155883E-6</c:v>
                </c:pt>
                <c:pt idx="302">
                  <c:v>5.7827422976753209E-6</c:v>
                </c:pt>
                <c:pt idx="303">
                  <c:v>5.7827422976753209E-6</c:v>
                </c:pt>
                <c:pt idx="304">
                  <c:v>5.830443164317775E-6</c:v>
                </c:pt>
                <c:pt idx="305">
                  <c:v>5.830443164317775E-6</c:v>
                </c:pt>
                <c:pt idx="306">
                  <c:v>5.8781205062887173E-6</c:v>
                </c:pt>
                <c:pt idx="307">
                  <c:v>5.8781205062887173E-6</c:v>
                </c:pt>
                <c:pt idx="308">
                  <c:v>5.9257458349365846E-6</c:v>
                </c:pt>
                <c:pt idx="309">
                  <c:v>5.9257458349365846E-6</c:v>
                </c:pt>
                <c:pt idx="310">
                  <c:v>5.9732702593521716E-6</c:v>
                </c:pt>
                <c:pt idx="311">
                  <c:v>5.9732702593521716E-6</c:v>
                </c:pt>
                <c:pt idx="312">
                  <c:v>6.0206142707047161E-6</c:v>
                </c:pt>
                <c:pt idx="313">
                  <c:v>6.0206142707047161E-6</c:v>
                </c:pt>
                <c:pt idx="314">
                  <c:v>6.0676520189852032E-6</c:v>
                </c:pt>
                <c:pt idx="315">
                  <c:v>6.0676520189852032E-6</c:v>
                </c:pt>
                <c:pt idx="316">
                  <c:v>6.1141861071204129E-6</c:v>
                </c:pt>
                <c:pt idx="317">
                  <c:v>6.1141861071204129E-6</c:v>
                </c:pt>
                <c:pt idx="318">
                  <c:v>6.1599053299199331E-6</c:v>
                </c:pt>
                <c:pt idx="319">
                  <c:v>6.1599053299199331E-6</c:v>
                </c:pt>
                <c:pt idx="320">
                  <c:v>6.2043099395051304E-6</c:v>
                </c:pt>
                <c:pt idx="321">
                  <c:v>6.2043099395051304E-6</c:v>
                </c:pt>
                <c:pt idx="322">
                  <c:v>6.2465703580737764E-6</c:v>
                </c:pt>
                <c:pt idx="323">
                  <c:v>6.2465703580737764E-6</c:v>
                </c:pt>
                <c:pt idx="324">
                  <c:v>6.2852357112761438E-6</c:v>
                </c:pt>
                <c:pt idx="325">
                  <c:v>6.2852357112761438E-6</c:v>
                </c:pt>
                <c:pt idx="326">
                  <c:v>6.3175578122017829E-6</c:v>
                </c:pt>
                <c:pt idx="327">
                  <c:v>6.3175578122017829E-6</c:v>
                </c:pt>
                <c:pt idx="328">
                  <c:v>6.3377040449713538E-6</c:v>
                </c:pt>
                <c:pt idx="329">
                  <c:v>6.3377040449713538E-6</c:v>
                </c:pt>
                <c:pt idx="330">
                  <c:v>6.3400000000000003E-6</c:v>
                </c:pt>
                <c:pt idx="331">
                  <c:v>6.3400000000000003E-6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Reflectivity!$I$3:$I$1619</c:f>
              <c:numCache>
                <c:formatCode>0.00E+00</c:formatCode>
                <c:ptCount val="1617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Reflectivity!$L$3:$L$1619</c:f>
              <c:numCache>
                <c:formatCode>0.00E+00</c:formatCode>
                <c:ptCount val="1617"/>
                <c:pt idx="0">
                  <c:v>4.6741406866519969E-9</c:v>
                </c:pt>
                <c:pt idx="1">
                  <c:v>5.0584680822867321E-9</c:v>
                </c:pt>
                <c:pt idx="2">
                  <c:v>5.4743438656854483E-9</c:v>
                </c:pt>
                <c:pt idx="3">
                  <c:v>5.9243469248420498E-9</c:v>
                </c:pt>
                <c:pt idx="4">
                  <c:v>6.4112688659976135E-9</c:v>
                </c:pt>
                <c:pt idx="5">
                  <c:v>6.9381238237172083E-9</c:v>
                </c:pt>
                <c:pt idx="6">
                  <c:v>7.5081668253792548E-9</c:v>
                </c:pt>
                <c:pt idx="7">
                  <c:v>8.124912693273978E-9</c:v>
                </c:pt>
                <c:pt idx="8">
                  <c:v>8.792154980518942E-9</c:v>
                </c:pt>
                <c:pt idx="9">
                  <c:v>9.5139856097211047E-9</c:v>
                </c:pt>
                <c:pt idx="10">
                  <c:v>1.0294814933618464E-8</c:v>
                </c:pt>
                <c:pt idx="11">
                  <c:v>1.1139391766725949E-8</c:v>
                </c:pt>
                <c:pt idx="12">
                  <c:v>1.2052822676050918E-8</c:v>
                </c:pt>
                <c:pt idx="13">
                  <c:v>1.3040589455649E-8</c:v>
                </c:pt>
                <c:pt idx="14">
                  <c:v>1.4108563138157933E-8</c:v>
                </c:pt>
                <c:pt idx="15">
                  <c:v>1.5263012105839437E-8</c:v>
                </c:pt>
                <c:pt idx="16">
                  <c:v>1.6510600746862252E-8</c:v>
                </c:pt>
                <c:pt idx="17">
                  <c:v>1.7858373623332178E-8</c:v>
                </c:pt>
                <c:pt idx="18">
                  <c:v>1.9313718510080458E-8</c:v>
                </c:pt>
                <c:pt idx="19">
                  <c:v>2.0884300720998074E-8</c:v>
                </c:pt>
                <c:pt idx="20">
                  <c:v>2.2577963546804641E-8</c:v>
                </c:pt>
                <c:pt idx="21">
                  <c:v>2.4402602450512134E-8</c:v>
                </c:pt>
                <c:pt idx="22">
                  <c:v>2.6366155752238948E-8</c:v>
                </c:pt>
                <c:pt idx="23">
                  <c:v>2.8476305592390542E-8</c:v>
                </c:pt>
                <c:pt idx="24">
                  <c:v>3.0741612179917468E-8</c:v>
                </c:pt>
                <c:pt idx="25">
                  <c:v>3.317305387273271E-8</c:v>
                </c:pt>
                <c:pt idx="26">
                  <c:v>3.5788436309273496E-8</c:v>
                </c:pt>
                <c:pt idx="27">
                  <c:v>3.8290534650354133E-8</c:v>
                </c:pt>
                <c:pt idx="28">
                  <c:v>3.6868846325511626E-8</c:v>
                </c:pt>
                <c:pt idx="29">
                  <c:v>2.5664326592959137E-8</c:v>
                </c:pt>
                <c:pt idx="30">
                  <c:v>1.1951942486322373E-8</c:v>
                </c:pt>
                <c:pt idx="31">
                  <c:v>3.983150402449927E-9</c:v>
                </c:pt>
                <c:pt idx="32">
                  <c:v>1.079316748007711E-9</c:v>
                </c:pt>
                <c:pt idx="33">
                  <c:v>7.9655345431208816E-10</c:v>
                </c:pt>
                <c:pt idx="34">
                  <c:v>1.8096444264059807E-9</c:v>
                </c:pt>
                <c:pt idx="35">
                  <c:v>3.3032491540817727E-9</c:v>
                </c:pt>
                <c:pt idx="36">
                  <c:v>4.7561896466375925E-9</c:v>
                </c:pt>
                <c:pt idx="37">
                  <c:v>5.8554834032526292E-9</c:v>
                </c:pt>
                <c:pt idx="38">
                  <c:v>6.4330918393163163E-9</c:v>
                </c:pt>
                <c:pt idx="39">
                  <c:v>6.4287271413558996E-9</c:v>
                </c:pt>
                <c:pt idx="40">
                  <c:v>5.872970998668095E-9</c:v>
                </c:pt>
                <c:pt idx="41">
                  <c:v>4.8786507246241508E-9</c:v>
                </c:pt>
                <c:pt idx="42">
                  <c:v>3.6278952533685462E-9</c:v>
                </c:pt>
                <c:pt idx="43">
                  <c:v>2.3459931925049697E-9</c:v>
                </c:pt>
                <c:pt idx="44">
                  <c:v>1.2606834318143462E-9</c:v>
                </c:pt>
                <c:pt idx="45">
                  <c:v>5.5467646946919022E-10</c:v>
                </c:pt>
                <c:pt idx="46">
                  <c:v>3.2539782078129979E-10</c:v>
                </c:pt>
                <c:pt idx="47">
                  <c:v>5.6510320655735171E-10</c:v>
                </c:pt>
                <c:pt idx="48">
                  <c:v>1.1670259518353446E-9</c:v>
                </c:pt>
                <c:pt idx="49">
                  <c:v>1.9539848493514158E-9</c:v>
                </c:pt>
                <c:pt idx="50">
                  <c:v>2.7201075979405598E-9</c:v>
                </c:pt>
                <c:pt idx="51">
                  <c:v>3.2755399480991315E-9</c:v>
                </c:pt>
                <c:pt idx="52">
                  <c:v>3.4860750116591323E-9</c:v>
                </c:pt>
                <c:pt idx="53">
                  <c:v>3.3016546872688118E-9</c:v>
                </c:pt>
                <c:pt idx="54">
                  <c:v>2.7685397864241505E-9</c:v>
                </c:pt>
                <c:pt idx="55">
                  <c:v>2.0207215597024668E-9</c:v>
                </c:pt>
                <c:pt idx="56">
                  <c:v>1.2489250435823232E-9</c:v>
                </c:pt>
                <c:pt idx="57">
                  <c:v>6.513883964057478E-10</c:v>
                </c:pt>
                <c:pt idx="58">
                  <c:v>3.7800750514553423E-10</c:v>
                </c:pt>
                <c:pt idx="59">
                  <c:v>4.8461663762497561E-10</c:v>
                </c:pt>
                <c:pt idx="60">
                  <c:v>9.1341342373287512E-10</c:v>
                </c:pt>
                <c:pt idx="61">
                  <c:v>1.5080732781200965E-9</c:v>
                </c:pt>
                <c:pt idx="62">
                  <c:v>2.060861099303304E-9</c:v>
                </c:pt>
                <c:pt idx="63">
                  <c:v>2.3784787886051589E-9</c:v>
                </c:pt>
                <c:pt idx="64">
                  <c:v>2.3467066683557448E-9</c:v>
                </c:pt>
                <c:pt idx="65">
                  <c:v>1.9724332335549362E-9</c:v>
                </c:pt>
                <c:pt idx="66">
                  <c:v>1.3860968672668374E-9</c:v>
                </c:pt>
                <c:pt idx="67">
                  <c:v>7.9854262620684186E-10</c:v>
                </c:pt>
                <c:pt idx="68">
                  <c:v>4.2280657682630545E-10</c:v>
                </c:pt>
                <c:pt idx="69">
                  <c:v>3.8825739429149172E-10</c:v>
                </c:pt>
                <c:pt idx="70">
                  <c:v>6.831070219441657E-10</c:v>
                </c:pt>
                <c:pt idx="71">
                  <c:v>1.1541959067599354E-9</c:v>
                </c:pt>
                <c:pt idx="72">
                  <c:v>1.5702607612990265E-9</c:v>
                </c:pt>
                <c:pt idx="73">
                  <c:v>1.7256093939640577E-9</c:v>
                </c:pt>
                <c:pt idx="74">
                  <c:v>1.538728182691196E-9</c:v>
                </c:pt>
                <c:pt idx="75">
                  <c:v>1.0965811989998108E-9</c:v>
                </c:pt>
                <c:pt idx="76">
                  <c:v>6.1572752259292183E-10</c:v>
                </c:pt>
                <c:pt idx="77">
                  <c:v>3.3143173091206409E-10</c:v>
                </c:pt>
                <c:pt idx="78">
                  <c:v>3.6854977519139968E-10</c:v>
                </c:pt>
                <c:pt idx="79">
                  <c:v>6.6744985026087132E-10</c:v>
                </c:pt>
                <c:pt idx="80">
                  <c:v>1.0154753516148146E-9</c:v>
                </c:pt>
                <c:pt idx="81">
                  <c:v>1.1746466082877755E-9</c:v>
                </c:pt>
                <c:pt idx="82">
                  <c:v>1.0323062025927539E-9</c:v>
                </c:pt>
                <c:pt idx="83">
                  <c:v>6.7641817134599082E-10</c:v>
                </c:pt>
                <c:pt idx="84">
                  <c:v>3.3674452008478812E-10</c:v>
                </c:pt>
                <c:pt idx="85">
                  <c:v>2.2241034952625768E-10</c:v>
                </c:pt>
                <c:pt idx="86">
                  <c:v>3.6845410322704283E-10</c:v>
                </c:pt>
                <c:pt idx="87">
                  <c:v>6.1100173023737562E-10</c:v>
                </c:pt>
                <c:pt idx="88">
                  <c:v>7.201785940135885E-10</c:v>
                </c:pt>
                <c:pt idx="89">
                  <c:v>5.9032005009673484E-10</c:v>
                </c:pt>
                <c:pt idx="90">
                  <c:v>3.2668068226750635E-10</c:v>
                </c:pt>
                <c:pt idx="91">
                  <c:v>1.4529609411781361E-10</c:v>
                </c:pt>
                <c:pt idx="92">
                  <c:v>1.6996235919174093E-10</c:v>
                </c:pt>
                <c:pt idx="93">
                  <c:v>3.183047009625229E-10</c:v>
                </c:pt>
                <c:pt idx="94">
                  <c:v>3.9500540326001841E-10</c:v>
                </c:pt>
                <c:pt idx="95">
                  <c:v>3.0148293276420078E-10</c:v>
                </c:pt>
                <c:pt idx="96">
                  <c:v>1.371324243681526E-10</c:v>
                </c:pt>
                <c:pt idx="97">
                  <c:v>7.4648106185530499E-11</c:v>
                </c:pt>
                <c:pt idx="98">
                  <c:v>1.5141460569329477E-10</c:v>
                </c:pt>
                <c:pt idx="99">
                  <c:v>2.3204704913153385E-10</c:v>
                </c:pt>
                <c:pt idx="100">
                  <c:v>1.9433990685802812E-10</c:v>
                </c:pt>
                <c:pt idx="101">
                  <c:v>9.5319926401101103E-11</c:v>
                </c:pt>
                <c:pt idx="102">
                  <c:v>8.4242207268842707E-11</c:v>
                </c:pt>
                <c:pt idx="103">
                  <c:v>1.7890609001830435E-10</c:v>
                </c:pt>
                <c:pt idx="104">
                  <c:v>2.3846098172729229E-10</c:v>
                </c:pt>
                <c:pt idx="105">
                  <c:v>1.8834027856223297E-10</c:v>
                </c:pt>
                <c:pt idx="106">
                  <c:v>1.4717021176909177E-10</c:v>
                </c:pt>
                <c:pt idx="107">
                  <c:v>2.3147875313623821E-10</c:v>
                </c:pt>
                <c:pt idx="108">
                  <c:v>3.4951502255631193E-10</c:v>
                </c:pt>
                <c:pt idx="109">
                  <c:v>3.5501158492237078E-10</c:v>
                </c:pt>
                <c:pt idx="110">
                  <c:v>3.142073169241732E-10</c:v>
                </c:pt>
                <c:pt idx="111">
                  <c:v>3.9140256414293218E-10</c:v>
                </c:pt>
                <c:pt idx="112">
                  <c:v>5.3624413091468194E-10</c:v>
                </c:pt>
                <c:pt idx="113">
                  <c:v>5.7422083247785901E-10</c:v>
                </c:pt>
                <c:pt idx="114">
                  <c:v>5.5195504266074282E-10</c:v>
                </c:pt>
                <c:pt idx="115">
                  <c:v>6.432954484103567E-10</c:v>
                </c:pt>
                <c:pt idx="116">
                  <c:v>7.8529655095452993E-10</c:v>
                </c:pt>
                <c:pt idx="117">
                  <c:v>8.1532029901582002E-10</c:v>
                </c:pt>
                <c:pt idx="118">
                  <c:v>8.2516821888350685E-10</c:v>
                </c:pt>
                <c:pt idx="119">
                  <c:v>9.4363900668805319E-10</c:v>
                </c:pt>
                <c:pt idx="120">
                  <c:v>1.0431262682284285E-9</c:v>
                </c:pt>
                <c:pt idx="121">
                  <c:v>1.053439681762541E-9</c:v>
                </c:pt>
                <c:pt idx="122">
                  <c:v>1.1180072993472611E-9</c:v>
                </c:pt>
                <c:pt idx="123">
                  <c:v>1.2257058795530492E-9</c:v>
                </c:pt>
                <c:pt idx="124">
                  <c:v>1.2606303127101778E-9</c:v>
                </c:pt>
                <c:pt idx="125">
                  <c:v>1.3029081713261472E-9</c:v>
                </c:pt>
                <c:pt idx="126">
                  <c:v>1.3914111846373138E-9</c:v>
                </c:pt>
                <c:pt idx="127">
                  <c:v>1.4373281475932199E-9</c:v>
                </c:pt>
                <c:pt idx="128">
                  <c:v>1.4812398581589825E-9</c:v>
                </c:pt>
                <c:pt idx="129">
                  <c:v>1.5525933634573101E-9</c:v>
                </c:pt>
                <c:pt idx="130">
                  <c:v>1.6024500590934055E-9</c:v>
                </c:pt>
                <c:pt idx="131">
                  <c:v>1.6567996455893427E-9</c:v>
                </c:pt>
                <c:pt idx="132">
                  <c:v>1.718287455385894E-9</c:v>
                </c:pt>
                <c:pt idx="133">
                  <c:v>1.7781484057615531E-9</c:v>
                </c:pt>
                <c:pt idx="134">
                  <c:v>1.8392098497649317E-9</c:v>
                </c:pt>
                <c:pt idx="135">
                  <c:v>1.9005821254543673E-9</c:v>
                </c:pt>
                <c:pt idx="136">
                  <c:v>1.9721814138617427E-9</c:v>
                </c:pt>
                <c:pt idx="137">
                  <c:v>2.0288525016034893E-9</c:v>
                </c:pt>
                <c:pt idx="138">
                  <c:v>2.1010305001703875E-9</c:v>
                </c:pt>
                <c:pt idx="139">
                  <c:v>2.1606313850259438E-9</c:v>
                </c:pt>
                <c:pt idx="140">
                  <c:v>2.5989343451316579E-6</c:v>
                </c:pt>
                <c:pt idx="141">
                  <c:v>2.3877000987297301E-6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Reflectivity!$K$3:$K$476</c:f>
                <c:numCache>
                  <c:formatCode>General</c:formatCode>
                  <c:ptCount val="474"/>
                  <c:pt idx="0">
                    <c:v>3.6117231509682049E-10</c:v>
                  </c:pt>
                  <c:pt idx="1">
                    <c:v>3.5868205299741926E-10</c:v>
                  </c:pt>
                  <c:pt idx="2">
                    <c:v>3.5474687321875566E-10</c:v>
                  </c:pt>
                  <c:pt idx="3">
                    <c:v>3.5575978221461755E-10</c:v>
                  </c:pt>
                  <c:pt idx="4">
                    <c:v>3.5986864700427722E-10</c:v>
                  </c:pt>
                  <c:pt idx="5">
                    <c:v>3.6587700466586838E-10</c:v>
                  </c:pt>
                  <c:pt idx="6">
                    <c:v>3.779869453888318E-10</c:v>
                  </c:pt>
                  <c:pt idx="7">
                    <c:v>3.8686045103232113E-10</c:v>
                  </c:pt>
                  <c:pt idx="8">
                    <c:v>3.340062465409046E-10</c:v>
                  </c:pt>
                  <c:pt idx="9">
                    <c:v>3.424696903419432E-10</c:v>
                  </c:pt>
                  <c:pt idx="10">
                    <c:v>7.7969096718461086E-10</c:v>
                  </c:pt>
                  <c:pt idx="11">
                    <c:v>7.5859763819071579E-10</c:v>
                  </c:pt>
                  <c:pt idx="12">
                    <c:v>8.0407866529916489E-10</c:v>
                  </c:pt>
                  <c:pt idx="13">
                    <c:v>7.7017795600942175E-10</c:v>
                  </c:pt>
                  <c:pt idx="14">
                    <c:v>8.1102658380958518E-10</c:v>
                  </c:pt>
                  <c:pt idx="15">
                    <c:v>8.5637848082411709E-10</c:v>
                  </c:pt>
                  <c:pt idx="16">
                    <c:v>8.3720600834310332E-10</c:v>
                  </c:pt>
                  <c:pt idx="17">
                    <c:v>8.4385744835455034E-10</c:v>
                  </c:pt>
                  <c:pt idx="18">
                    <c:v>7.327944501451464E-10</c:v>
                  </c:pt>
                  <c:pt idx="19">
                    <c:v>7.7764298602248589E-10</c:v>
                  </c:pt>
                  <c:pt idx="20">
                    <c:v>1.4481991586089848E-9</c:v>
                  </c:pt>
                  <c:pt idx="21">
                    <c:v>1.5408987382808735E-9</c:v>
                  </c:pt>
                  <c:pt idx="22">
                    <c:v>1.4288884635532041E-9</c:v>
                  </c:pt>
                  <c:pt idx="23">
                    <c:v>1.5488958118638154E-9</c:v>
                  </c:pt>
                  <c:pt idx="24">
                    <c:v>1.5851839481569083E-9</c:v>
                  </c:pt>
                  <c:pt idx="25">
                    <c:v>1.5141415626366686E-9</c:v>
                  </c:pt>
                  <c:pt idx="26">
                    <c:v>1.5638192249372828E-9</c:v>
                  </c:pt>
                  <c:pt idx="27">
                    <c:v>1.6922444631754138E-9</c:v>
                  </c:pt>
                  <c:pt idx="28">
                    <c:v>1.6071823568495745E-9</c:v>
                  </c:pt>
                  <c:pt idx="29">
                    <c:v>1.2899671529773282E-9</c:v>
                  </c:pt>
                  <c:pt idx="30">
                    <c:v>8.9816804643931535E-10</c:v>
                  </c:pt>
                  <c:pt idx="31">
                    <c:v>5.9603408777609233E-10</c:v>
                  </c:pt>
                  <c:pt idx="32">
                    <c:v>1.6162872693627166E-10</c:v>
                  </c:pt>
                  <c:pt idx="33">
                    <c:v>1.3823495111984096E-10</c:v>
                  </c:pt>
                  <c:pt idx="34">
                    <c:v>1.8877024079909444E-10</c:v>
                  </c:pt>
                  <c:pt idx="35">
                    <c:v>2.3737716946089121E-10</c:v>
                  </c:pt>
                  <c:pt idx="36">
                    <c:v>3.0118461658084852E-10</c:v>
                  </c:pt>
                  <c:pt idx="37">
                    <c:v>3.2099004120945005E-10</c:v>
                  </c:pt>
                  <c:pt idx="38">
                    <c:v>3.4258332336113657E-10</c:v>
                  </c:pt>
                  <c:pt idx="39">
                    <c:v>3.2504548910168258E-10</c:v>
                  </c:pt>
                  <c:pt idx="40">
                    <c:v>3.2516956676479857E-10</c:v>
                  </c:pt>
                  <c:pt idx="41">
                    <c:v>2.7638532909632353E-10</c:v>
                  </c:pt>
                  <c:pt idx="42">
                    <c:v>2.4076218893887605E-10</c:v>
                  </c:pt>
                  <c:pt idx="43">
                    <c:v>1.8747287706031157E-10</c:v>
                  </c:pt>
                  <c:pt idx="44">
                    <c:v>1.5393548026307512E-10</c:v>
                  </c:pt>
                  <c:pt idx="45">
                    <c:v>1.1137428773479475E-10</c:v>
                  </c:pt>
                  <c:pt idx="46">
                    <c:v>9.6242417701762778E-11</c:v>
                  </c:pt>
                  <c:pt idx="47">
                    <c:v>1.2742625254457702E-10</c:v>
                  </c:pt>
                  <c:pt idx="48">
                    <c:v>1.5374837218642051E-10</c:v>
                  </c:pt>
                  <c:pt idx="49">
                    <c:v>1.9069019669459129E-10</c:v>
                  </c:pt>
                  <c:pt idx="50">
                    <c:v>2.1645714759792762E-10</c:v>
                  </c:pt>
                  <c:pt idx="51">
                    <c:v>1.0503630062658176E-10</c:v>
                  </c:pt>
                  <c:pt idx="52">
                    <c:v>1.1003628275885307E-10</c:v>
                  </c:pt>
                  <c:pt idx="53">
                    <c:v>1.0580691828205546E-10</c:v>
                  </c:pt>
                  <c:pt idx="54">
                    <c:v>9.28805313414414E-11</c:v>
                  </c:pt>
                  <c:pt idx="55">
                    <c:v>8.9981140005046029E-11</c:v>
                  </c:pt>
                  <c:pt idx="56">
                    <c:v>6.6839845209545302E-11</c:v>
                  </c:pt>
                  <c:pt idx="57">
                    <c:v>4.3902068389138715E-11</c:v>
                  </c:pt>
                  <c:pt idx="58">
                    <c:v>4.1644003554747561E-11</c:v>
                  </c:pt>
                  <c:pt idx="59">
                    <c:v>4.8372958796069624E-11</c:v>
                  </c:pt>
                  <c:pt idx="60">
                    <c:v>6.3129028083458259E-11</c:v>
                  </c:pt>
                  <c:pt idx="61">
                    <c:v>8.2682540374305093E-11</c:v>
                  </c:pt>
                  <c:pt idx="62">
                    <c:v>9.8525008809211414E-11</c:v>
                  </c:pt>
                  <c:pt idx="63">
                    <c:v>1.0845248074778136E-10</c:v>
                  </c:pt>
                  <c:pt idx="64">
                    <c:v>1.1412874408427869E-10</c:v>
                  </c:pt>
                  <c:pt idx="65">
                    <c:v>1.0457318472382957E-10</c:v>
                  </c:pt>
                  <c:pt idx="66">
                    <c:v>8.6604156379186713E-11</c:v>
                  </c:pt>
                  <c:pt idx="67">
                    <c:v>6.9830657329795467E-11</c:v>
                  </c:pt>
                  <c:pt idx="68">
                    <c:v>5.6501966674795871E-11</c:v>
                  </c:pt>
                  <c:pt idx="69">
                    <c:v>6.8885078122917071E-11</c:v>
                  </c:pt>
                  <c:pt idx="70">
                    <c:v>8.8311425543155462E-11</c:v>
                  </c:pt>
                  <c:pt idx="71">
                    <c:v>1.0296137414490536E-10</c:v>
                  </c:pt>
                  <c:pt idx="72">
                    <c:v>1.2539952317338116E-10</c:v>
                  </c:pt>
                  <c:pt idx="73">
                    <c:v>1.3651166735414499E-10</c:v>
                  </c:pt>
                  <c:pt idx="74">
                    <c:v>1.2651892993965667E-10</c:v>
                  </c:pt>
                  <c:pt idx="75">
                    <c:v>1.073929763468165E-10</c:v>
                  </c:pt>
                  <c:pt idx="76">
                    <c:v>8.2789079923064453E-11</c:v>
                  </c:pt>
                  <c:pt idx="77">
                    <c:v>6.2709001715583021E-11</c:v>
                  </c:pt>
                  <c:pt idx="78">
                    <c:v>7.6500736210721565E-11</c:v>
                  </c:pt>
                  <c:pt idx="79">
                    <c:v>1.0928107341150563E-10</c:v>
                  </c:pt>
                  <c:pt idx="80">
                    <c:v>1.2557133225067662E-10</c:v>
                  </c:pt>
                  <c:pt idx="81">
                    <c:v>1.2733832759501303E-10</c:v>
                  </c:pt>
                  <c:pt idx="82">
                    <c:v>1.3972198195470023E-10</c:v>
                  </c:pt>
                  <c:pt idx="83">
                    <c:v>1.1920047270838016E-10</c:v>
                  </c:pt>
                  <c:pt idx="84">
                    <c:v>1.2088098700152706E-10</c:v>
                  </c:pt>
                  <c:pt idx="85">
                    <c:v>1.9975255285465635E-11</c:v>
                  </c:pt>
                  <c:pt idx="86">
                    <c:v>2.8377211187350695E-11</c:v>
                  </c:pt>
                  <c:pt idx="87">
                    <c:v>3.2777132968044282E-11</c:v>
                  </c:pt>
                  <c:pt idx="88">
                    <c:v>3.8643902002801304E-11</c:v>
                  </c:pt>
                  <c:pt idx="89">
                    <c:v>3.7082442499639201E-11</c:v>
                  </c:pt>
                  <c:pt idx="90">
                    <c:v>2.8703123846766729E-11</c:v>
                  </c:pt>
                  <c:pt idx="91">
                    <c:v>2.3039882157021119E-11</c:v>
                  </c:pt>
                  <c:pt idx="92">
                    <c:v>2.5949689376935442E-11</c:v>
                  </c:pt>
                  <c:pt idx="93">
                    <c:v>3.0836944692210237E-11</c:v>
                  </c:pt>
                  <c:pt idx="94">
                    <c:v>3.5085698250213912E-11</c:v>
                  </c:pt>
                  <c:pt idx="95">
                    <c:v>3.5979206558203981E-11</c:v>
                  </c:pt>
                  <c:pt idx="96">
                    <c:v>3.0685319625045083E-11</c:v>
                  </c:pt>
                  <c:pt idx="97">
                    <c:v>2.9467406692032682E-11</c:v>
                  </c:pt>
                  <c:pt idx="98">
                    <c:v>3.3925105618263635E-11</c:v>
                  </c:pt>
                  <c:pt idx="99">
                    <c:v>3.62974681414946E-11</c:v>
                  </c:pt>
                  <c:pt idx="100">
                    <c:v>4.1479120138445023E-11</c:v>
                  </c:pt>
                  <c:pt idx="101">
                    <c:v>4.1562167487545895E-11</c:v>
                  </c:pt>
                  <c:pt idx="102">
                    <c:v>3.552307862919882E-11</c:v>
                  </c:pt>
                  <c:pt idx="103">
                    <c:v>4.6505108731149593E-11</c:v>
                  </c:pt>
                  <c:pt idx="104">
                    <c:v>5.6555382703530636E-11</c:v>
                  </c:pt>
                  <c:pt idx="105">
                    <c:v>5.6632981504116879E-11</c:v>
                  </c:pt>
                  <c:pt idx="106">
                    <c:v>5.1589733916354683E-11</c:v>
                  </c:pt>
                  <c:pt idx="107">
                    <c:v>6.1371149850558754E-11</c:v>
                  </c:pt>
                  <c:pt idx="108">
                    <c:v>6.5558140513936611E-11</c:v>
                  </c:pt>
                  <c:pt idx="109">
                    <c:v>6.8578144674473971E-11</c:v>
                  </c:pt>
                  <c:pt idx="110">
                    <c:v>6.6888075681825884E-11</c:v>
                  </c:pt>
                  <c:pt idx="111">
                    <c:v>7.2931068517861692E-11</c:v>
                  </c:pt>
                  <c:pt idx="112">
                    <c:v>7.5676406452493409E-11</c:v>
                  </c:pt>
                  <c:pt idx="113">
                    <c:v>9.0888478863934841E-11</c:v>
                  </c:pt>
                  <c:pt idx="114">
                    <c:v>1.0494124427945685E-10</c:v>
                  </c:pt>
                  <c:pt idx="115">
                    <c:v>9.5458177808656691E-11</c:v>
                  </c:pt>
                  <c:pt idx="116">
                    <c:v>1.1730998076315931E-10</c:v>
                  </c:pt>
                  <c:pt idx="117">
                    <c:v>1.2289173916579083E-10</c:v>
                  </c:pt>
                  <c:pt idx="118">
                    <c:v>1.3888870796996034E-10</c:v>
                  </c:pt>
                  <c:pt idx="119">
                    <c:v>1.368852934963726E-10</c:v>
                  </c:pt>
                  <c:pt idx="120">
                    <c:v>7.1119046318668682E-11</c:v>
                  </c:pt>
                  <c:pt idx="121">
                    <c:v>7.9974024456286803E-11</c:v>
                  </c:pt>
                  <c:pt idx="122">
                    <c:v>8.2624156809182018E-11</c:v>
                  </c:pt>
                  <c:pt idx="123">
                    <c:v>8.9244273891508599E-11</c:v>
                  </c:pt>
                  <c:pt idx="124">
                    <c:v>9.7412636217685024E-11</c:v>
                  </c:pt>
                  <c:pt idx="125">
                    <c:v>9.8114228810005198E-11</c:v>
                  </c:pt>
                  <c:pt idx="126">
                    <c:v>1.157640690806889E-10</c:v>
                  </c:pt>
                  <c:pt idx="127">
                    <c:v>1.2944303922642676E-10</c:v>
                  </c:pt>
                  <c:pt idx="128">
                    <c:v>1.3919544079063495E-10</c:v>
                  </c:pt>
                  <c:pt idx="129">
                    <c:v>1.4563228759192143E-10</c:v>
                  </c:pt>
                  <c:pt idx="130">
                    <c:v>1.4916455524123818E-10</c:v>
                  </c:pt>
                  <c:pt idx="131">
                    <c:v>1.6261419188338414E-10</c:v>
                  </c:pt>
                  <c:pt idx="132">
                    <c:v>1.7946836858334428E-10</c:v>
                  </c:pt>
                  <c:pt idx="133">
                    <c:v>1.9636655812663138E-10</c:v>
                  </c:pt>
                  <c:pt idx="134">
                    <c:v>2.0801789181764754E-10</c:v>
                  </c:pt>
                  <c:pt idx="135">
                    <c:v>2.2857897620295644E-10</c:v>
                  </c:pt>
                  <c:pt idx="136">
                    <c:v>2.2746973489526252E-10</c:v>
                  </c:pt>
                  <c:pt idx="137">
                    <c:v>2.7720705881578001E-10</c:v>
                  </c:pt>
                  <c:pt idx="138">
                    <c:v>3.3426792588889877E-10</c:v>
                  </c:pt>
                  <c:pt idx="139">
                    <c:v>3.0130473277410483E-10</c:v>
                  </c:pt>
                </c:numCache>
              </c:numRef>
            </c:plus>
            <c:minus>
              <c:numRef>
                <c:f>Reflectivity!$K$3:$K$476</c:f>
                <c:numCache>
                  <c:formatCode>General</c:formatCode>
                  <c:ptCount val="474"/>
                  <c:pt idx="0">
                    <c:v>3.6117231509682049E-10</c:v>
                  </c:pt>
                  <c:pt idx="1">
                    <c:v>3.5868205299741926E-10</c:v>
                  </c:pt>
                  <c:pt idx="2">
                    <c:v>3.5474687321875566E-10</c:v>
                  </c:pt>
                  <c:pt idx="3">
                    <c:v>3.5575978221461755E-10</c:v>
                  </c:pt>
                  <c:pt idx="4">
                    <c:v>3.5986864700427722E-10</c:v>
                  </c:pt>
                  <c:pt idx="5">
                    <c:v>3.6587700466586838E-10</c:v>
                  </c:pt>
                  <c:pt idx="6">
                    <c:v>3.779869453888318E-10</c:v>
                  </c:pt>
                  <c:pt idx="7">
                    <c:v>3.8686045103232113E-10</c:v>
                  </c:pt>
                  <c:pt idx="8">
                    <c:v>3.340062465409046E-10</c:v>
                  </c:pt>
                  <c:pt idx="9">
                    <c:v>3.424696903419432E-10</c:v>
                  </c:pt>
                  <c:pt idx="10">
                    <c:v>7.7969096718461086E-10</c:v>
                  </c:pt>
                  <c:pt idx="11">
                    <c:v>7.5859763819071579E-10</c:v>
                  </c:pt>
                  <c:pt idx="12">
                    <c:v>8.0407866529916489E-10</c:v>
                  </c:pt>
                  <c:pt idx="13">
                    <c:v>7.7017795600942175E-10</c:v>
                  </c:pt>
                  <c:pt idx="14">
                    <c:v>8.1102658380958518E-10</c:v>
                  </c:pt>
                  <c:pt idx="15">
                    <c:v>8.5637848082411709E-10</c:v>
                  </c:pt>
                  <c:pt idx="16">
                    <c:v>8.3720600834310332E-10</c:v>
                  </c:pt>
                  <c:pt idx="17">
                    <c:v>8.4385744835455034E-10</c:v>
                  </c:pt>
                  <c:pt idx="18">
                    <c:v>7.327944501451464E-10</c:v>
                  </c:pt>
                  <c:pt idx="19">
                    <c:v>7.7764298602248589E-10</c:v>
                  </c:pt>
                  <c:pt idx="20">
                    <c:v>1.4481991586089848E-9</c:v>
                  </c:pt>
                  <c:pt idx="21">
                    <c:v>1.5408987382808735E-9</c:v>
                  </c:pt>
                  <c:pt idx="22">
                    <c:v>1.4288884635532041E-9</c:v>
                  </c:pt>
                  <c:pt idx="23">
                    <c:v>1.5488958118638154E-9</c:v>
                  </c:pt>
                  <c:pt idx="24">
                    <c:v>1.5851839481569083E-9</c:v>
                  </c:pt>
                  <c:pt idx="25">
                    <c:v>1.5141415626366686E-9</c:v>
                  </c:pt>
                  <c:pt idx="26">
                    <c:v>1.5638192249372828E-9</c:v>
                  </c:pt>
                  <c:pt idx="27">
                    <c:v>1.6922444631754138E-9</c:v>
                  </c:pt>
                  <c:pt idx="28">
                    <c:v>1.6071823568495745E-9</c:v>
                  </c:pt>
                  <c:pt idx="29">
                    <c:v>1.2899671529773282E-9</c:v>
                  </c:pt>
                  <c:pt idx="30">
                    <c:v>8.9816804643931535E-10</c:v>
                  </c:pt>
                  <c:pt idx="31">
                    <c:v>5.9603408777609233E-10</c:v>
                  </c:pt>
                  <c:pt idx="32">
                    <c:v>1.6162872693627166E-10</c:v>
                  </c:pt>
                  <c:pt idx="33">
                    <c:v>1.3823495111984096E-10</c:v>
                  </c:pt>
                  <c:pt idx="34">
                    <c:v>1.8877024079909444E-10</c:v>
                  </c:pt>
                  <c:pt idx="35">
                    <c:v>2.3737716946089121E-10</c:v>
                  </c:pt>
                  <c:pt idx="36">
                    <c:v>3.0118461658084852E-10</c:v>
                  </c:pt>
                  <c:pt idx="37">
                    <c:v>3.2099004120945005E-10</c:v>
                  </c:pt>
                  <c:pt idx="38">
                    <c:v>3.4258332336113657E-10</c:v>
                  </c:pt>
                  <c:pt idx="39">
                    <c:v>3.2504548910168258E-10</c:v>
                  </c:pt>
                  <c:pt idx="40">
                    <c:v>3.2516956676479857E-10</c:v>
                  </c:pt>
                  <c:pt idx="41">
                    <c:v>2.7638532909632353E-10</c:v>
                  </c:pt>
                  <c:pt idx="42">
                    <c:v>2.4076218893887605E-10</c:v>
                  </c:pt>
                  <c:pt idx="43">
                    <c:v>1.8747287706031157E-10</c:v>
                  </c:pt>
                  <c:pt idx="44">
                    <c:v>1.5393548026307512E-10</c:v>
                  </c:pt>
                  <c:pt idx="45">
                    <c:v>1.1137428773479475E-10</c:v>
                  </c:pt>
                  <c:pt idx="46">
                    <c:v>9.6242417701762778E-11</c:v>
                  </c:pt>
                  <c:pt idx="47">
                    <c:v>1.2742625254457702E-10</c:v>
                  </c:pt>
                  <c:pt idx="48">
                    <c:v>1.5374837218642051E-10</c:v>
                  </c:pt>
                  <c:pt idx="49">
                    <c:v>1.9069019669459129E-10</c:v>
                  </c:pt>
                  <c:pt idx="50">
                    <c:v>2.1645714759792762E-10</c:v>
                  </c:pt>
                  <c:pt idx="51">
                    <c:v>1.0503630062658176E-10</c:v>
                  </c:pt>
                  <c:pt idx="52">
                    <c:v>1.1003628275885307E-10</c:v>
                  </c:pt>
                  <c:pt idx="53">
                    <c:v>1.0580691828205546E-10</c:v>
                  </c:pt>
                  <c:pt idx="54">
                    <c:v>9.28805313414414E-11</c:v>
                  </c:pt>
                  <c:pt idx="55">
                    <c:v>8.9981140005046029E-11</c:v>
                  </c:pt>
                  <c:pt idx="56">
                    <c:v>6.6839845209545302E-11</c:v>
                  </c:pt>
                  <c:pt idx="57">
                    <c:v>4.3902068389138715E-11</c:v>
                  </c:pt>
                  <c:pt idx="58">
                    <c:v>4.1644003554747561E-11</c:v>
                  </c:pt>
                  <c:pt idx="59">
                    <c:v>4.8372958796069624E-11</c:v>
                  </c:pt>
                  <c:pt idx="60">
                    <c:v>6.3129028083458259E-11</c:v>
                  </c:pt>
                  <c:pt idx="61">
                    <c:v>8.2682540374305093E-11</c:v>
                  </c:pt>
                  <c:pt idx="62">
                    <c:v>9.8525008809211414E-11</c:v>
                  </c:pt>
                  <c:pt idx="63">
                    <c:v>1.0845248074778136E-10</c:v>
                  </c:pt>
                  <c:pt idx="64">
                    <c:v>1.1412874408427869E-10</c:v>
                  </c:pt>
                  <c:pt idx="65">
                    <c:v>1.0457318472382957E-10</c:v>
                  </c:pt>
                  <c:pt idx="66">
                    <c:v>8.6604156379186713E-11</c:v>
                  </c:pt>
                  <c:pt idx="67">
                    <c:v>6.9830657329795467E-11</c:v>
                  </c:pt>
                  <c:pt idx="68">
                    <c:v>5.6501966674795871E-11</c:v>
                  </c:pt>
                  <c:pt idx="69">
                    <c:v>6.8885078122917071E-11</c:v>
                  </c:pt>
                  <c:pt idx="70">
                    <c:v>8.8311425543155462E-11</c:v>
                  </c:pt>
                  <c:pt idx="71">
                    <c:v>1.0296137414490536E-10</c:v>
                  </c:pt>
                  <c:pt idx="72">
                    <c:v>1.2539952317338116E-10</c:v>
                  </c:pt>
                  <c:pt idx="73">
                    <c:v>1.3651166735414499E-10</c:v>
                  </c:pt>
                  <c:pt idx="74">
                    <c:v>1.2651892993965667E-10</c:v>
                  </c:pt>
                  <c:pt idx="75">
                    <c:v>1.073929763468165E-10</c:v>
                  </c:pt>
                  <c:pt idx="76">
                    <c:v>8.2789079923064453E-11</c:v>
                  </c:pt>
                  <c:pt idx="77">
                    <c:v>6.2709001715583021E-11</c:v>
                  </c:pt>
                  <c:pt idx="78">
                    <c:v>7.6500736210721565E-11</c:v>
                  </c:pt>
                  <c:pt idx="79">
                    <c:v>1.0928107341150563E-10</c:v>
                  </c:pt>
                  <c:pt idx="80">
                    <c:v>1.2557133225067662E-10</c:v>
                  </c:pt>
                  <c:pt idx="81">
                    <c:v>1.2733832759501303E-10</c:v>
                  </c:pt>
                  <c:pt idx="82">
                    <c:v>1.3972198195470023E-10</c:v>
                  </c:pt>
                  <c:pt idx="83">
                    <c:v>1.1920047270838016E-10</c:v>
                  </c:pt>
                  <c:pt idx="84">
                    <c:v>1.2088098700152706E-10</c:v>
                  </c:pt>
                  <c:pt idx="85">
                    <c:v>1.9975255285465635E-11</c:v>
                  </c:pt>
                  <c:pt idx="86">
                    <c:v>2.8377211187350695E-11</c:v>
                  </c:pt>
                  <c:pt idx="87">
                    <c:v>3.2777132968044282E-11</c:v>
                  </c:pt>
                  <c:pt idx="88">
                    <c:v>3.8643902002801304E-11</c:v>
                  </c:pt>
                  <c:pt idx="89">
                    <c:v>3.7082442499639201E-11</c:v>
                  </c:pt>
                  <c:pt idx="90">
                    <c:v>2.8703123846766729E-11</c:v>
                  </c:pt>
                  <c:pt idx="91">
                    <c:v>2.3039882157021119E-11</c:v>
                  </c:pt>
                  <c:pt idx="92">
                    <c:v>2.5949689376935442E-11</c:v>
                  </c:pt>
                  <c:pt idx="93">
                    <c:v>3.0836944692210237E-11</c:v>
                  </c:pt>
                  <c:pt idx="94">
                    <c:v>3.5085698250213912E-11</c:v>
                  </c:pt>
                  <c:pt idx="95">
                    <c:v>3.5979206558203981E-11</c:v>
                  </c:pt>
                  <c:pt idx="96">
                    <c:v>3.0685319625045083E-11</c:v>
                  </c:pt>
                  <c:pt idx="97">
                    <c:v>2.9467406692032682E-11</c:v>
                  </c:pt>
                  <c:pt idx="98">
                    <c:v>3.3925105618263635E-11</c:v>
                  </c:pt>
                  <c:pt idx="99">
                    <c:v>3.62974681414946E-11</c:v>
                  </c:pt>
                  <c:pt idx="100">
                    <c:v>4.1479120138445023E-11</c:v>
                  </c:pt>
                  <c:pt idx="101">
                    <c:v>4.1562167487545895E-11</c:v>
                  </c:pt>
                  <c:pt idx="102">
                    <c:v>3.552307862919882E-11</c:v>
                  </c:pt>
                  <c:pt idx="103">
                    <c:v>4.6505108731149593E-11</c:v>
                  </c:pt>
                  <c:pt idx="104">
                    <c:v>5.6555382703530636E-11</c:v>
                  </c:pt>
                  <c:pt idx="105">
                    <c:v>5.6632981504116879E-11</c:v>
                  </c:pt>
                  <c:pt idx="106">
                    <c:v>5.1589733916354683E-11</c:v>
                  </c:pt>
                  <c:pt idx="107">
                    <c:v>6.1371149850558754E-11</c:v>
                  </c:pt>
                  <c:pt idx="108">
                    <c:v>6.5558140513936611E-11</c:v>
                  </c:pt>
                  <c:pt idx="109">
                    <c:v>6.8578144674473971E-11</c:v>
                  </c:pt>
                  <c:pt idx="110">
                    <c:v>6.6888075681825884E-11</c:v>
                  </c:pt>
                  <c:pt idx="111">
                    <c:v>7.2931068517861692E-11</c:v>
                  </c:pt>
                  <c:pt idx="112">
                    <c:v>7.5676406452493409E-11</c:v>
                  </c:pt>
                  <c:pt idx="113">
                    <c:v>9.0888478863934841E-11</c:v>
                  </c:pt>
                  <c:pt idx="114">
                    <c:v>1.0494124427945685E-10</c:v>
                  </c:pt>
                  <c:pt idx="115">
                    <c:v>9.5458177808656691E-11</c:v>
                  </c:pt>
                  <c:pt idx="116">
                    <c:v>1.1730998076315931E-10</c:v>
                  </c:pt>
                  <c:pt idx="117">
                    <c:v>1.2289173916579083E-10</c:v>
                  </c:pt>
                  <c:pt idx="118">
                    <c:v>1.3888870796996034E-10</c:v>
                  </c:pt>
                  <c:pt idx="119">
                    <c:v>1.368852934963726E-10</c:v>
                  </c:pt>
                  <c:pt idx="120">
                    <c:v>7.1119046318668682E-11</c:v>
                  </c:pt>
                  <c:pt idx="121">
                    <c:v>7.9974024456286803E-11</c:v>
                  </c:pt>
                  <c:pt idx="122">
                    <c:v>8.2624156809182018E-11</c:v>
                  </c:pt>
                  <c:pt idx="123">
                    <c:v>8.9244273891508599E-11</c:v>
                  </c:pt>
                  <c:pt idx="124">
                    <c:v>9.7412636217685024E-11</c:v>
                  </c:pt>
                  <c:pt idx="125">
                    <c:v>9.8114228810005198E-11</c:v>
                  </c:pt>
                  <c:pt idx="126">
                    <c:v>1.157640690806889E-10</c:v>
                  </c:pt>
                  <c:pt idx="127">
                    <c:v>1.2944303922642676E-10</c:v>
                  </c:pt>
                  <c:pt idx="128">
                    <c:v>1.3919544079063495E-10</c:v>
                  </c:pt>
                  <c:pt idx="129">
                    <c:v>1.4563228759192143E-10</c:v>
                  </c:pt>
                  <c:pt idx="130">
                    <c:v>1.4916455524123818E-10</c:v>
                  </c:pt>
                  <c:pt idx="131">
                    <c:v>1.6261419188338414E-10</c:v>
                  </c:pt>
                  <c:pt idx="132">
                    <c:v>1.7946836858334428E-10</c:v>
                  </c:pt>
                  <c:pt idx="133">
                    <c:v>1.9636655812663138E-10</c:v>
                  </c:pt>
                  <c:pt idx="134">
                    <c:v>2.0801789181764754E-10</c:v>
                  </c:pt>
                  <c:pt idx="135">
                    <c:v>2.2857897620295644E-10</c:v>
                  </c:pt>
                  <c:pt idx="136">
                    <c:v>2.2746973489526252E-10</c:v>
                  </c:pt>
                  <c:pt idx="137">
                    <c:v>2.7720705881578001E-10</c:v>
                  </c:pt>
                  <c:pt idx="138">
                    <c:v>3.3426792588889877E-10</c:v>
                  </c:pt>
                  <c:pt idx="139">
                    <c:v>3.0130473277410483E-10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Reflectivity!$I$3:$I$1618</c:f>
              <c:numCache>
                <c:formatCode>0.00E+00</c:formatCode>
                <c:ptCount val="1616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Reflectivity!$J$3:$J$1618</c:f>
              <c:numCache>
                <c:formatCode>0.00E+00</c:formatCode>
                <c:ptCount val="1616"/>
                <c:pt idx="0">
                  <c:v>4.8334111983912244E-9</c:v>
                </c:pt>
                <c:pt idx="1">
                  <c:v>5.0724593930655893E-9</c:v>
                </c:pt>
                <c:pt idx="2">
                  <c:v>5.2726102756932226E-9</c:v>
                </c:pt>
                <c:pt idx="3">
                  <c:v>5.737645367988658E-9</c:v>
                </c:pt>
                <c:pt idx="4">
                  <c:v>6.3775319520351644E-9</c:v>
                </c:pt>
                <c:pt idx="5">
                  <c:v>7.0350559901923762E-9</c:v>
                </c:pt>
                <c:pt idx="6">
                  <c:v>8.1005865784807357E-9</c:v>
                </c:pt>
                <c:pt idx="7">
                  <c:v>8.6496134242010388E-9</c:v>
                </c:pt>
                <c:pt idx="8">
                  <c:v>8.4380190331614824E-9</c:v>
                </c:pt>
                <c:pt idx="9">
                  <c:v>9.5455207540233554E-9</c:v>
                </c:pt>
                <c:pt idx="10">
                  <c:v>9.4593804024640166E-9</c:v>
                </c:pt>
                <c:pt idx="11">
                  <c:v>1.0163812512505368E-8</c:v>
                </c:pt>
                <c:pt idx="12">
                  <c:v>1.1648722307306216E-8</c:v>
                </c:pt>
                <c:pt idx="13">
                  <c:v>1.1939443024867168E-8</c:v>
                </c:pt>
                <c:pt idx="14">
                  <c:v>1.3636772085470119E-8</c:v>
                </c:pt>
                <c:pt idx="15">
                  <c:v>1.5425480260722957E-8</c:v>
                </c:pt>
                <c:pt idx="16">
                  <c:v>1.5562822235268468E-8</c:v>
                </c:pt>
                <c:pt idx="17">
                  <c:v>1.6915733986277694E-8</c:v>
                </c:pt>
                <c:pt idx="18">
                  <c:v>1.8494003382153603E-8</c:v>
                </c:pt>
                <c:pt idx="19">
                  <c:v>2.1612386201140231E-8</c:v>
                </c:pt>
                <c:pt idx="20">
                  <c:v>2.3032407627681905E-8</c:v>
                </c:pt>
                <c:pt idx="21">
                  <c:v>2.6263051687466897E-8</c:v>
                </c:pt>
                <c:pt idx="22">
                  <c:v>2.5154715405346261E-8</c:v>
                </c:pt>
                <c:pt idx="23">
                  <c:v>2.9247610286914431E-8</c:v>
                </c:pt>
                <c:pt idx="24">
                  <c:v>3.2007396058171103E-8</c:v>
                </c:pt>
                <c:pt idx="25">
                  <c:v>3.0723282356399688E-8</c:v>
                </c:pt>
                <c:pt idx="26">
                  <c:v>3.3493386178841423E-8</c:v>
                </c:pt>
                <c:pt idx="27">
                  <c:v>3.8406576887776322E-8</c:v>
                </c:pt>
                <c:pt idx="28">
                  <c:v>3.7228534075885138E-8</c:v>
                </c:pt>
                <c:pt idx="29">
                  <c:v>2.4651150360947445E-8</c:v>
                </c:pt>
                <c:pt idx="30">
                  <c:v>1.2191426309305001E-8</c:v>
                </c:pt>
                <c:pt idx="31">
                  <c:v>4.6350192022963999E-9</c:v>
                </c:pt>
                <c:pt idx="32">
                  <c:v>1.3169698751196753E-9</c:v>
                </c:pt>
                <c:pt idx="33">
                  <c:v>8.15131008123742E-10</c:v>
                </c:pt>
                <c:pt idx="34">
                  <c:v>1.9159415866553007E-9</c:v>
                </c:pt>
                <c:pt idx="35">
                  <c:v>3.1180542079927622E-9</c:v>
                </c:pt>
                <c:pt idx="36">
                  <c:v>4.9796232337560112E-9</c:v>
                </c:pt>
                <c:pt idx="37">
                  <c:v>5.8027592626653496E-9</c:v>
                </c:pt>
                <c:pt idx="38">
                  <c:v>6.7202383994422849E-9</c:v>
                </c:pt>
                <c:pt idx="39">
                  <c:v>6.3706183686505657E-9</c:v>
                </c:pt>
                <c:pt idx="40">
                  <c:v>6.1493767907026863E-9</c:v>
                </c:pt>
                <c:pt idx="41">
                  <c:v>4.7938346262276365E-9</c:v>
                </c:pt>
                <c:pt idx="42">
                  <c:v>3.5514497411946484E-9</c:v>
                </c:pt>
                <c:pt idx="43">
                  <c:v>2.1757467336499921E-9</c:v>
                </c:pt>
                <c:pt idx="44">
                  <c:v>1.3200870295076962E-9</c:v>
                </c:pt>
                <c:pt idx="45">
                  <c:v>5.7721554648016185E-10</c:v>
                </c:pt>
                <c:pt idx="46">
                  <c:v>3.6888477969706967E-10</c:v>
                </c:pt>
                <c:pt idx="47">
                  <c:v>8.2941974606135681E-10</c:v>
                </c:pt>
                <c:pt idx="48">
                  <c:v>1.3450977536986514E-9</c:v>
                </c:pt>
                <c:pt idx="49">
                  <c:v>2.1341548616151089E-9</c:v>
                </c:pt>
                <c:pt idx="50">
                  <c:v>2.7832153283003361E-9</c:v>
                </c:pt>
                <c:pt idx="51">
                  <c:v>3.627764293684419E-9</c:v>
                </c:pt>
                <c:pt idx="52">
                  <c:v>3.8795672184410595E-9</c:v>
                </c:pt>
                <c:pt idx="53">
                  <c:v>3.6205879885258171E-9</c:v>
                </c:pt>
                <c:pt idx="54">
                  <c:v>2.9120552890160247E-9</c:v>
                </c:pt>
                <c:pt idx="55">
                  <c:v>2.3321704401373754E-9</c:v>
                </c:pt>
                <c:pt idx="56">
                  <c:v>1.3715264939998449E-9</c:v>
                </c:pt>
                <c:pt idx="57">
                  <c:v>6.4147029506013068E-10</c:v>
                </c:pt>
                <c:pt idx="58">
                  <c:v>5.2090634928900361E-10</c:v>
                </c:pt>
                <c:pt idx="59">
                  <c:v>6.5928675017102321E-10</c:v>
                </c:pt>
                <c:pt idx="60">
                  <c:v>1.1456289304623397E-9</c:v>
                </c:pt>
                <c:pt idx="61">
                  <c:v>1.7552266028316637E-9</c:v>
                </c:pt>
                <c:pt idx="62">
                  <c:v>2.3158853162259829E-9</c:v>
                </c:pt>
                <c:pt idx="63">
                  <c:v>2.6429902850925149E-9</c:v>
                </c:pt>
                <c:pt idx="64">
                  <c:v>2.6508778095588259E-9</c:v>
                </c:pt>
                <c:pt idx="65">
                  <c:v>2.1705309868503936E-9</c:v>
                </c:pt>
                <c:pt idx="66">
                  <c:v>1.3967535128569378E-9</c:v>
                </c:pt>
                <c:pt idx="67">
                  <c:v>8.6518519294922641E-10</c:v>
                </c:pt>
                <c:pt idx="68">
                  <c:v>4.5493362838649042E-10</c:v>
                </c:pt>
                <c:pt idx="69">
                  <c:v>5.131656895813237E-10</c:v>
                </c:pt>
                <c:pt idx="70">
                  <c:v>8.7481892228094871E-10</c:v>
                </c:pt>
                <c:pt idx="71">
                  <c:v>1.2675199127709359E-9</c:v>
                </c:pt>
                <c:pt idx="72">
                  <c:v>1.8682396951842695E-9</c:v>
                </c:pt>
                <c:pt idx="73">
                  <c:v>2.0714294316869243E-9</c:v>
                </c:pt>
                <c:pt idx="74">
                  <c:v>1.6151623095873951E-9</c:v>
                </c:pt>
                <c:pt idx="75">
                  <c:v>1.1036019616475881E-9</c:v>
                </c:pt>
                <c:pt idx="76">
                  <c:v>5.2903075122276786E-10</c:v>
                </c:pt>
                <c:pt idx="77">
                  <c:v>1.8819046182644667E-10</c:v>
                </c:pt>
                <c:pt idx="78">
                  <c:v>3.9979572843218731E-10</c:v>
                </c:pt>
                <c:pt idx="79">
                  <c:v>8.8341338905089251E-10</c:v>
                </c:pt>
                <c:pt idx="80">
                  <c:v>9.7006008944531713E-10</c:v>
                </c:pt>
                <c:pt idx="81">
                  <c:v>9.6026748567898076E-10</c:v>
                </c:pt>
                <c:pt idx="82">
                  <c:v>1.0269145957233767E-9</c:v>
                </c:pt>
                <c:pt idx="83">
                  <c:v>6.8302153981252553E-10</c:v>
                </c:pt>
                <c:pt idx="84">
                  <c:v>6.6533647969897019E-10</c:v>
                </c:pt>
                <c:pt idx="85">
                  <c:v>1.5551235359683748E-10</c:v>
                </c:pt>
                <c:pt idx="86">
                  <c:v>3.6400130290709657E-10</c:v>
                </c:pt>
                <c:pt idx="87">
                  <c:v>5.0947226103971975E-10</c:v>
                </c:pt>
                <c:pt idx="88">
                  <c:v>6.725563316399722E-10</c:v>
                </c:pt>
                <c:pt idx="89">
                  <c:v>6.081525675546565E-10</c:v>
                </c:pt>
                <c:pt idx="90">
                  <c:v>3.300515196428273E-10</c:v>
                </c:pt>
                <c:pt idx="91">
                  <c:v>1.8537999025381889E-10</c:v>
                </c:pt>
                <c:pt idx="92">
                  <c:v>1.9353627447303137E-10</c:v>
                </c:pt>
                <c:pt idx="93">
                  <c:v>3.0223677042763507E-10</c:v>
                </c:pt>
                <c:pt idx="94">
                  <c:v>4.2797861834729713E-10</c:v>
                </c:pt>
                <c:pt idx="95">
                  <c:v>4.1105330102798787E-10</c:v>
                </c:pt>
                <c:pt idx="96">
                  <c:v>2.155458597164479E-10</c:v>
                </c:pt>
                <c:pt idx="97">
                  <c:v>1.609364420983756E-10</c:v>
                </c:pt>
                <c:pt idx="98">
                  <c:v>1.8287741744163103E-10</c:v>
                </c:pt>
                <c:pt idx="99">
                  <c:v>2.4399216912303868E-10</c:v>
                </c:pt>
                <c:pt idx="100">
                  <c:v>3.1658909117883925E-10</c:v>
                </c:pt>
                <c:pt idx="101">
                  <c:v>2.9878962610469412E-10</c:v>
                </c:pt>
                <c:pt idx="102">
                  <c:v>1.2554318080987722E-10</c:v>
                </c:pt>
                <c:pt idx="103">
                  <c:v>1.959972632449835E-10</c:v>
                </c:pt>
                <c:pt idx="104">
                  <c:v>3.6064733059177461E-10</c:v>
                </c:pt>
                <c:pt idx="105">
                  <c:v>3.5629472358143304E-10</c:v>
                </c:pt>
                <c:pt idx="106">
                  <c:v>2.023562092847482E-10</c:v>
                </c:pt>
                <c:pt idx="107">
                  <c:v>3.8469724933104051E-10</c:v>
                </c:pt>
                <c:pt idx="108">
                  <c:v>3.3953222250785376E-10</c:v>
                </c:pt>
                <c:pt idx="109">
                  <c:v>4.7141282561870742E-10</c:v>
                </c:pt>
                <c:pt idx="110">
                  <c:v>3.3340034074006394E-10</c:v>
                </c:pt>
                <c:pt idx="111">
                  <c:v>3.5142204229506643E-10</c:v>
                </c:pt>
                <c:pt idx="112">
                  <c:v>3.6198793219138708E-10</c:v>
                </c:pt>
                <c:pt idx="113">
                  <c:v>5.9786461176789911E-10</c:v>
                </c:pt>
                <c:pt idx="114">
                  <c:v>7.9963678454022106E-10</c:v>
                </c:pt>
                <c:pt idx="115">
                  <c:v>5.0492206635365093E-10</c:v>
                </c:pt>
                <c:pt idx="116">
                  <c:v>7.3096456888861865E-10</c:v>
                </c:pt>
                <c:pt idx="117">
                  <c:v>7.4848603184492251E-10</c:v>
                </c:pt>
                <c:pt idx="118">
                  <c:v>9.7310159974837742E-10</c:v>
                </c:pt>
                <c:pt idx="119">
                  <c:v>7.8403552494279739E-10</c:v>
                </c:pt>
                <c:pt idx="120">
                  <c:v>8.1446197966261012E-10</c:v>
                </c:pt>
                <c:pt idx="121">
                  <c:v>1.0045430820691166E-9</c:v>
                </c:pt>
                <c:pt idx="122">
                  <c:v>1.0067112392191641E-9</c:v>
                </c:pt>
                <c:pt idx="123">
                  <c:v>1.0880782971459197E-9</c:v>
                </c:pt>
                <c:pt idx="124">
                  <c:v>1.1985934180536025E-9</c:v>
                </c:pt>
                <c:pt idx="125">
                  <c:v>1.3923885160697903E-9</c:v>
                </c:pt>
                <c:pt idx="126">
                  <c:v>1.4616509744443037E-9</c:v>
                </c:pt>
                <c:pt idx="127">
                  <c:v>1.7029958319115315E-9</c:v>
                </c:pt>
                <c:pt idx="128">
                  <c:v>1.9524255133005583E-9</c:v>
                </c:pt>
                <c:pt idx="129">
                  <c:v>1.958401617062955E-9</c:v>
                </c:pt>
                <c:pt idx="130">
                  <c:v>1.7624991154054388E-9</c:v>
                </c:pt>
                <c:pt idx="131">
                  <c:v>1.977109767013986E-9</c:v>
                </c:pt>
                <c:pt idx="132">
                  <c:v>2.3987772526519624E-9</c:v>
                </c:pt>
                <c:pt idx="133">
                  <c:v>2.4919445821766614E-9</c:v>
                </c:pt>
                <c:pt idx="134">
                  <c:v>2.5838153651625768E-9</c:v>
                </c:pt>
                <c:pt idx="135">
                  <c:v>2.9795413741341316E-9</c:v>
                </c:pt>
                <c:pt idx="136">
                  <c:v>2.6270633444011024E-9</c:v>
                </c:pt>
                <c:pt idx="137">
                  <c:v>3.3298361808963115E-9</c:v>
                </c:pt>
                <c:pt idx="138">
                  <c:v>3.8699220010984372E-9</c:v>
                </c:pt>
                <c:pt idx="139">
                  <c:v>3.3863863668780645E-9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25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'd1'!$A$4:$A$23</c:f>
              <c:numCache>
                <c:formatCode>0.0</c:formatCode>
                <c:ptCount val="20"/>
                <c:pt idx="0">
                  <c:v>65</c:v>
                </c:pt>
                <c:pt idx="1">
                  <c:v>65.8</c:v>
                </c:pt>
                <c:pt idx="2">
                  <c:v>66.599999999999994</c:v>
                </c:pt>
                <c:pt idx="3">
                  <c:v>67.400000000000006</c:v>
                </c:pt>
                <c:pt idx="4">
                  <c:v>68.2</c:v>
                </c:pt>
                <c:pt idx="5">
                  <c:v>69</c:v>
                </c:pt>
                <c:pt idx="6">
                  <c:v>69.8</c:v>
                </c:pt>
                <c:pt idx="7">
                  <c:v>70.599999999999994</c:v>
                </c:pt>
                <c:pt idx="8">
                  <c:v>71.400000000000006</c:v>
                </c:pt>
                <c:pt idx="9">
                  <c:v>72.2</c:v>
                </c:pt>
                <c:pt idx="10">
                  <c:v>73</c:v>
                </c:pt>
              </c:numCache>
            </c:numRef>
          </c:xVal>
          <c:yVal>
            <c:numRef>
              <c:f>'d1'!$B$4:$B$23</c:f>
              <c:numCache>
                <c:formatCode>0.00</c:formatCode>
                <c:ptCount val="20"/>
                <c:pt idx="0">
                  <c:v>5.0921814633456863</c:v>
                </c:pt>
                <c:pt idx="1">
                  <c:v>4.6839865560550082</c:v>
                </c:pt>
                <c:pt idx="2">
                  <c:v>4.3549809804878423</c:v>
                </c:pt>
                <c:pt idx="3">
                  <c:v>4.1034793484041234</c:v>
                </c:pt>
                <c:pt idx="4">
                  <c:v>3.9275730847747901</c:v>
                </c:pt>
                <c:pt idx="5">
                  <c:v>3.8251446348561866</c:v>
                </c:pt>
                <c:pt idx="6">
                  <c:v>3.793883122559405</c:v>
                </c:pt>
                <c:pt idx="7">
                  <c:v>3.8313012859120259</c:v>
                </c:pt>
                <c:pt idx="8">
                  <c:v>3.9347535067610968</c:v>
                </c:pt>
                <c:pt idx="9">
                  <c:v>4.1014547455731396</c:v>
                </c:pt>
                <c:pt idx="10">
                  <c:v>4.3285001882191194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A-47A5-990E-2EDFE34E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dtot!$A$4:$A$23</c:f>
              <c:numCache>
                <c:formatCode>0.0</c:formatCode>
                <c:ptCount val="20"/>
                <c:pt idx="0">
                  <c:v>1005</c:v>
                </c:pt>
                <c:pt idx="1">
                  <c:v>1006.5</c:v>
                </c:pt>
                <c:pt idx="2">
                  <c:v>1008</c:v>
                </c:pt>
                <c:pt idx="3">
                  <c:v>1009.5</c:v>
                </c:pt>
                <c:pt idx="4">
                  <c:v>1011</c:v>
                </c:pt>
                <c:pt idx="5">
                  <c:v>1012.5</c:v>
                </c:pt>
                <c:pt idx="6">
                  <c:v>1014</c:v>
                </c:pt>
                <c:pt idx="7">
                  <c:v>1015.5</c:v>
                </c:pt>
                <c:pt idx="8">
                  <c:v>1017</c:v>
                </c:pt>
                <c:pt idx="9">
                  <c:v>1018.5</c:v>
                </c:pt>
                <c:pt idx="10">
                  <c:v>1020</c:v>
                </c:pt>
              </c:numCache>
            </c:numRef>
          </c:xVal>
          <c:yVal>
            <c:numRef>
              <c:f>dtot!$B$4:$B$23</c:f>
              <c:numCache>
                <c:formatCode>0.00</c:formatCode>
                <c:ptCount val="20"/>
                <c:pt idx="0">
                  <c:v>5.477852987372704</c:v>
                </c:pt>
                <c:pt idx="1">
                  <c:v>4.9646625212423752</c:v>
                </c:pt>
                <c:pt idx="2">
                  <c:v>4.5448617904483912</c:v>
                </c:pt>
                <c:pt idx="3">
                  <c:v>4.2178385454103786</c:v>
                </c:pt>
                <c:pt idx="4">
                  <c:v>3.9830202890564848</c:v>
                </c:pt>
                <c:pt idx="5">
                  <c:v>3.8398836148117157</c:v>
                </c:pt>
                <c:pt idx="6">
                  <c:v>3.7879593142771584</c:v>
                </c:pt>
                <c:pt idx="7">
                  <c:v>3.826833215166197</c:v>
                </c:pt>
                <c:pt idx="8">
                  <c:v>3.9561428065783542</c:v>
                </c:pt>
                <c:pt idx="9">
                  <c:v>4.1755698031986199</c:v>
                </c:pt>
                <c:pt idx="10">
                  <c:v>4.4848288900694371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255-BE92-5924E808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17</c:v>
                </c:pt>
                <c:pt idx="1">
                  <c:v>17.399999999999999</c:v>
                </c:pt>
                <c:pt idx="2">
                  <c:v>17.8</c:v>
                </c:pt>
                <c:pt idx="3">
                  <c:v>18.2</c:v>
                </c:pt>
                <c:pt idx="4">
                  <c:v>18.600000000000001</c:v>
                </c:pt>
                <c:pt idx="5">
                  <c:v>19</c:v>
                </c:pt>
                <c:pt idx="6">
                  <c:v>19.399999999999999</c:v>
                </c:pt>
                <c:pt idx="7">
                  <c:v>19.8</c:v>
                </c:pt>
                <c:pt idx="8">
                  <c:v>20.2</c:v>
                </c:pt>
                <c:pt idx="9">
                  <c:v>20.6</c:v>
                </c:pt>
                <c:pt idx="10">
                  <c:v>21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4.6165394637615371</c:v>
                </c:pt>
                <c:pt idx="1">
                  <c:v>4.3105402682168252</c:v>
                </c:pt>
                <c:pt idx="2">
                  <c:v>4.0719824792310426</c:v>
                </c:pt>
                <c:pt idx="3">
                  <c:v>3.9008821709955797</c:v>
                </c:pt>
                <c:pt idx="4">
                  <c:v>3.7969588823835703</c:v>
                </c:pt>
                <c:pt idx="5">
                  <c:v>3.7596539790219659</c:v>
                </c:pt>
                <c:pt idx="6">
                  <c:v>3.7881503941536216</c:v>
                </c:pt>
                <c:pt idx="7">
                  <c:v>3.8813933862408336</c:v>
                </c:pt>
                <c:pt idx="8">
                  <c:v>4.0381119688577254</c:v>
                </c:pt>
                <c:pt idx="9">
                  <c:v>4.2568406900034752</c:v>
                </c:pt>
                <c:pt idx="10">
                  <c:v>4.5359414626431489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F-4B7C-8D45-5300E6AE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'Nb1'!$A$4:$A$23</c:f>
              <c:numCache>
                <c:formatCode>0.00E+00</c:formatCode>
                <c:ptCount val="20"/>
                <c:pt idx="0">
                  <c:v>2.1500000000000002E-6</c:v>
                </c:pt>
                <c:pt idx="1">
                  <c:v>2.17E-6</c:v>
                </c:pt>
                <c:pt idx="2">
                  <c:v>2.1900000000000002E-6</c:v>
                </c:pt>
                <c:pt idx="3">
                  <c:v>2.21E-6</c:v>
                </c:pt>
                <c:pt idx="4">
                  <c:v>2.2300000000000002E-6</c:v>
                </c:pt>
                <c:pt idx="5">
                  <c:v>2.2500000000000001E-6</c:v>
                </c:pt>
                <c:pt idx="6">
                  <c:v>2.2699999999999999E-6</c:v>
                </c:pt>
                <c:pt idx="7">
                  <c:v>2.2900000000000001E-6</c:v>
                </c:pt>
                <c:pt idx="8">
                  <c:v>2.3099999999999999E-6</c:v>
                </c:pt>
                <c:pt idx="9">
                  <c:v>2.3300000000000001E-6</c:v>
                </c:pt>
                <c:pt idx="10">
                  <c:v>2.3499999999999999E-6</c:v>
                </c:pt>
              </c:numCache>
            </c:numRef>
          </c:xVal>
          <c:yVal>
            <c:numRef>
              <c:f>'Nb1'!$B$4:$B$23</c:f>
              <c:numCache>
                <c:formatCode>0.00</c:formatCode>
                <c:ptCount val="20"/>
                <c:pt idx="0">
                  <c:v>4.150077114281058</c:v>
                </c:pt>
                <c:pt idx="1">
                  <c:v>3.9960507974409381</c:v>
                </c:pt>
                <c:pt idx="2">
                  <c:v>3.8947101288893244</c:v>
                </c:pt>
                <c:pt idx="3">
                  <c:v>3.8436905581233498</c:v>
                </c:pt>
                <c:pt idx="4">
                  <c:v>3.8406693202186228</c:v>
                </c:pt>
                <c:pt idx="5">
                  <c:v>3.8833657581206631</c:v>
                </c:pt>
                <c:pt idx="6">
                  <c:v>3.9695416459488895</c:v>
                </c:pt>
                <c:pt idx="7">
                  <c:v>4.0970015133160169</c:v>
                </c:pt>
                <c:pt idx="8">
                  <c:v>4.2635929706594071</c:v>
                </c:pt>
                <c:pt idx="9">
                  <c:v>4.4672070355853348</c:v>
                </c:pt>
                <c:pt idx="10">
                  <c:v>4.7057784602269122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F-4E2A-AE9F-0F6983BB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'Nb2'!$A$4:$A$23</c:f>
              <c:numCache>
                <c:formatCode>0.00E+00</c:formatCode>
                <c:ptCount val="20"/>
                <c:pt idx="0">
                  <c:v>4.8999999999999997E-6</c:v>
                </c:pt>
                <c:pt idx="1">
                  <c:v>4.9199999999999995E-6</c:v>
                </c:pt>
                <c:pt idx="2">
                  <c:v>4.9400000000000001E-6</c:v>
                </c:pt>
                <c:pt idx="3">
                  <c:v>4.9599999999999999E-6</c:v>
                </c:pt>
                <c:pt idx="4">
                  <c:v>4.9799999999999998E-6</c:v>
                </c:pt>
                <c:pt idx="5">
                  <c:v>5.0000000000000004E-6</c:v>
                </c:pt>
                <c:pt idx="6">
                  <c:v>5.0200000000000002E-6</c:v>
                </c:pt>
                <c:pt idx="7">
                  <c:v>5.04E-6</c:v>
                </c:pt>
                <c:pt idx="8">
                  <c:v>5.0599999999999998E-6</c:v>
                </c:pt>
                <c:pt idx="9">
                  <c:v>5.0800000000000005E-6</c:v>
                </c:pt>
                <c:pt idx="10">
                  <c:v>5.1000000000000003E-6</c:v>
                </c:pt>
              </c:numCache>
            </c:numRef>
          </c:xVal>
          <c:yVal>
            <c:numRef>
              <c:f>'Nb2'!$B$4:$B$23</c:f>
              <c:numCache>
                <c:formatCode>0.00</c:formatCode>
                <c:ptCount val="20"/>
                <c:pt idx="0">
                  <c:v>4.5709134777066707</c:v>
                </c:pt>
                <c:pt idx="1">
                  <c:v>4.2646038519973839</c:v>
                </c:pt>
                <c:pt idx="2">
                  <c:v>4.0423316862843821</c:v>
                </c:pt>
                <c:pt idx="3">
                  <c:v>3.901115514522727</c:v>
                </c:pt>
                <c:pt idx="4">
                  <c:v>3.8385158646833855</c:v>
                </c:pt>
                <c:pt idx="5">
                  <c:v>3.8527469936322323</c:v>
                </c:pt>
                <c:pt idx="6">
                  <c:v>3.9427786536616494</c:v>
                </c:pt>
                <c:pt idx="7">
                  <c:v>4.1084251442331832</c:v>
                </c:pt>
                <c:pt idx="8">
                  <c:v>4.3504190973221837</c:v>
                </c:pt>
                <c:pt idx="9">
                  <c:v>4.6704677151990923</c:v>
                </c:pt>
                <c:pt idx="10">
                  <c:v>5.0712895182491824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0-4AB8-94BF-BEFC328A4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'sig12'!$B$3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'sig12'!$A$4:$A$23</c:f>
              <c:numCache>
                <c:formatCode>0.0</c:formatCode>
                <c:ptCount val="20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</c:numCache>
            </c:numRef>
          </c:xVal>
          <c:yVal>
            <c:numRef>
              <c:f>'sig12'!$B$4:$B$23</c:f>
              <c:numCache>
                <c:formatCode>0.00</c:formatCode>
                <c:ptCount val="20"/>
                <c:pt idx="0">
                  <c:v>4.7396982636860328</c:v>
                </c:pt>
                <c:pt idx="1">
                  <c:v>4.4325266568015431</c:v>
                </c:pt>
                <c:pt idx="2">
                  <c:v>4.1925851467464765</c:v>
                </c:pt>
                <c:pt idx="3">
                  <c:v>4.0160361861256089</c:v>
                </c:pt>
                <c:pt idx="4">
                  <c:v>3.8991599836275634</c:v>
                </c:pt>
                <c:pt idx="5">
                  <c:v>3.8383582219014012</c:v>
                </c:pt>
                <c:pt idx="6">
                  <c:v>3.8301572672903466</c:v>
                </c:pt>
                <c:pt idx="7">
                  <c:v>3.8712108119838855</c:v>
                </c:pt>
                <c:pt idx="8">
                  <c:v>3.9583019078262915</c:v>
                </c:pt>
                <c:pt idx="9">
                  <c:v>4.0883443682250045</c:v>
                </c:pt>
                <c:pt idx="10">
                  <c:v>4.2583835300678956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7-40F9-9F0C-19FE6E7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50</c:v>
                </c:pt>
                <c:pt idx="1">
                  <c:v>53</c:v>
                </c:pt>
                <c:pt idx="2">
                  <c:v>56</c:v>
                </c:pt>
                <c:pt idx="3">
                  <c:v>59</c:v>
                </c:pt>
                <c:pt idx="4">
                  <c:v>62</c:v>
                </c:pt>
                <c:pt idx="5">
                  <c:v>65</c:v>
                </c:pt>
                <c:pt idx="6">
                  <c:v>68</c:v>
                </c:pt>
                <c:pt idx="7">
                  <c:v>71</c:v>
                </c:pt>
                <c:pt idx="8">
                  <c:v>74</c:v>
                </c:pt>
                <c:pt idx="9">
                  <c:v>77</c:v>
                </c:pt>
                <c:pt idx="10">
                  <c:v>80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5.1395970392289838</c:v>
                </c:pt>
                <c:pt idx="1">
                  <c:v>4.6354236872762922</c:v>
                </c:pt>
                <c:pt idx="2">
                  <c:v>4.2647288618032215</c:v>
                </c:pt>
                <c:pt idx="3">
                  <c:v>4.0140587340974561</c:v>
                </c:pt>
                <c:pt idx="4">
                  <c:v>3.8709447314706753</c:v>
                </c:pt>
                <c:pt idx="5">
                  <c:v>3.824007511855684</c:v>
                </c:pt>
                <c:pt idx="6">
                  <c:v>3.8629440898261018</c:v>
                </c:pt>
                <c:pt idx="7">
                  <c:v>3.9784517515934152</c:v>
                </c:pt>
                <c:pt idx="8">
                  <c:v>4.1621258512400487</c:v>
                </c:pt>
                <c:pt idx="9">
                  <c:v>4.4063549547005909</c:v>
                </c:pt>
                <c:pt idx="10">
                  <c:v>4.7042262837416056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NbPGMA!$A$4:$A$23</c:f>
              <c:numCache>
                <c:formatCode>0.00E+00</c:formatCode>
                <c:ptCount val="20"/>
                <c:pt idx="0">
                  <c:v>4.9999999999999998E-7</c:v>
                </c:pt>
                <c:pt idx="1">
                  <c:v>5.3000000000000001E-7</c:v>
                </c:pt>
                <c:pt idx="2">
                  <c:v>5.5999999999999993E-7</c:v>
                </c:pt>
                <c:pt idx="3">
                  <c:v>5.8999999999999996E-7</c:v>
                </c:pt>
                <c:pt idx="4">
                  <c:v>6.1999999999999999E-7</c:v>
                </c:pt>
                <c:pt idx="5">
                  <c:v>6.4999999999999992E-7</c:v>
                </c:pt>
                <c:pt idx="6">
                  <c:v>6.7999999999999995E-7</c:v>
                </c:pt>
                <c:pt idx="7">
                  <c:v>7.0999999999999998E-7</c:v>
                </c:pt>
                <c:pt idx="8">
                  <c:v>7.399999999999999E-7</c:v>
                </c:pt>
                <c:pt idx="9">
                  <c:v>7.6999999999999993E-7</c:v>
                </c:pt>
                <c:pt idx="10">
                  <c:v>7.9999999999999996E-7</c:v>
                </c:pt>
              </c:numCache>
            </c:numRef>
          </c:xVal>
          <c:yVal>
            <c:numRef>
              <c:f>NbPGMA!$B$4:$B$23</c:f>
              <c:numCache>
                <c:formatCode>0.00</c:formatCode>
                <c:ptCount val="20"/>
                <c:pt idx="0">
                  <c:v>4.0647485298999451</c:v>
                </c:pt>
                <c:pt idx="1">
                  <c:v>3.9240974979089271</c:v>
                </c:pt>
                <c:pt idx="2">
                  <c:v>3.8376638330625537</c:v>
                </c:pt>
                <c:pt idx="3">
                  <c:v>3.8028177929417595</c:v>
                </c:pt>
                <c:pt idx="4">
                  <c:v>3.8170172407003156</c:v>
                </c:pt>
                <c:pt idx="5">
                  <c:v>3.8778077076610131</c:v>
                </c:pt>
                <c:pt idx="6">
                  <c:v>3.9828224558714731</c:v>
                </c:pt>
                <c:pt idx="7">
                  <c:v>4.1297825406173105</c:v>
                </c:pt>
                <c:pt idx="8">
                  <c:v>4.3164968728969493</c:v>
                </c:pt>
                <c:pt idx="9">
                  <c:v>4.5408622818535438</c:v>
                </c:pt>
                <c:pt idx="10">
                  <c:v>4.8008635771666199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D-4866-AD66-D21794F6E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NbD2O!$B$3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NbD2O!$A$4:$A$23</c:f>
              <c:numCache>
                <c:formatCode>0.00E+00</c:formatCode>
                <c:ptCount val="20"/>
                <c:pt idx="0">
                  <c:v>6.1999999999999999E-6</c:v>
                </c:pt>
                <c:pt idx="1">
                  <c:v>6.2299999999999996E-6</c:v>
                </c:pt>
                <c:pt idx="2">
                  <c:v>6.2600000000000002E-6</c:v>
                </c:pt>
                <c:pt idx="3">
                  <c:v>6.2899999999999999E-6</c:v>
                </c:pt>
                <c:pt idx="4">
                  <c:v>6.3199999999999996E-6</c:v>
                </c:pt>
                <c:pt idx="5">
                  <c:v>6.3499999999999993E-6</c:v>
                </c:pt>
                <c:pt idx="6">
                  <c:v>6.3799999999999999E-6</c:v>
                </c:pt>
                <c:pt idx="7">
                  <c:v>6.4099999999999996E-6</c:v>
                </c:pt>
                <c:pt idx="8">
                  <c:v>6.4399999999999993E-6</c:v>
                </c:pt>
                <c:pt idx="9">
                  <c:v>6.4699999999999999E-6</c:v>
                </c:pt>
                <c:pt idx="10">
                  <c:v>6.4999999999999996E-6</c:v>
                </c:pt>
              </c:numCache>
            </c:numRef>
          </c:xVal>
          <c:yVal>
            <c:numRef>
              <c:f>NbD2O!$B$4:$B$23</c:f>
              <c:numCache>
                <c:formatCode>0.00</c:formatCode>
                <c:ptCount val="20"/>
                <c:pt idx="0">
                  <c:v>6.3016871737747184</c:v>
                </c:pt>
                <c:pt idx="1">
                  <c:v>5.4636901660437012</c:v>
                </c:pt>
                <c:pt idx="2">
                  <c:v>4.9982759508857821</c:v>
                </c:pt>
                <c:pt idx="3">
                  <c:v>4.5780386407612728</c:v>
                </c:pt>
                <c:pt idx="4">
                  <c:v>4.2306966642431494</c:v>
                </c:pt>
                <c:pt idx="5">
                  <c:v>4.0289960658917288</c:v>
                </c:pt>
                <c:pt idx="6">
                  <c:v>4.8395519306167438</c:v>
                </c:pt>
                <c:pt idx="7">
                  <c:v>4.9650873617185844</c:v>
                </c:pt>
                <c:pt idx="8">
                  <c:v>5.3177069678262434</c:v>
                </c:pt>
                <c:pt idx="9">
                  <c:v>6.0109721223033548</c:v>
                </c:pt>
                <c:pt idx="10">
                  <c:v>7.2870316441437897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7-4FD2-9AB1-7AAC9577F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1271588</xdr:colOff>
      <xdr:row>3</xdr:row>
      <xdr:rowOff>224631</xdr:rowOff>
    </xdr:from>
    <xdr:to>
      <xdr:col>15</xdr:col>
      <xdr:colOff>419894</xdr:colOff>
      <xdr:row>24</xdr:row>
      <xdr:rowOff>153191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40003</xdr:colOff>
      <xdr:row>27</xdr:row>
      <xdr:rowOff>143507</xdr:rowOff>
    </xdr:from>
    <xdr:to>
      <xdr:col>16</xdr:col>
      <xdr:colOff>451800</xdr:colOff>
      <xdr:row>48</xdr:row>
      <xdr:rowOff>105724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C29" sqref="C29"/>
    </sheetView>
  </sheetViews>
  <sheetFormatPr defaultRowHeight="15.75" x14ac:dyDescent="0.25"/>
  <cols>
    <col min="1" max="1" width="19.375" style="64" bestFit="1" customWidth="1"/>
    <col min="2" max="2" width="13.125" style="21" bestFit="1" customWidth="1"/>
    <col min="3" max="3" width="14.125" style="21" bestFit="1" customWidth="1"/>
    <col min="4" max="4" width="14.75" style="19" bestFit="1" customWidth="1"/>
    <col min="5" max="5" width="9.375" style="19" bestFit="1" customWidth="1"/>
    <col min="6" max="6" width="13.5" style="39" bestFit="1" customWidth="1"/>
    <col min="7" max="7" width="12.875" style="39" bestFit="1" customWidth="1"/>
    <col min="8" max="8" width="17.1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201" t="s">
        <v>491</v>
      </c>
      <c r="C1" s="201"/>
      <c r="D1" s="201"/>
      <c r="E1" s="201"/>
      <c r="F1" s="201"/>
      <c r="G1" s="201"/>
      <c r="H1" s="201"/>
      <c r="I1" s="204" t="s">
        <v>506</v>
      </c>
      <c r="J1" s="204"/>
      <c r="K1" s="204"/>
      <c r="L1" s="68" t="s">
        <v>504</v>
      </c>
      <c r="M1" s="205" t="s">
        <v>489</v>
      </c>
      <c r="N1" s="205"/>
      <c r="O1" s="205"/>
      <c r="P1" s="205"/>
      <c r="Q1" s="205"/>
      <c r="R1" s="203" t="s">
        <v>490</v>
      </c>
      <c r="S1" s="203"/>
      <c r="T1" s="74"/>
      <c r="U1" s="202"/>
      <c r="V1" s="202"/>
      <c r="W1" s="137"/>
      <c r="X1" s="137"/>
      <c r="Y1" s="74"/>
      <c r="AA1" s="202"/>
      <c r="AB1" s="202"/>
      <c r="AC1" s="202"/>
      <c r="AD1" s="202"/>
      <c r="AE1" s="202"/>
      <c r="AF1" s="202"/>
      <c r="AG1" s="74"/>
      <c r="AH1" s="76"/>
    </row>
    <row r="2" spans="1:34" s="16" customFormat="1" ht="18.75" x14ac:dyDescent="0.25">
      <c r="A2" s="108" t="s">
        <v>525</v>
      </c>
      <c r="B2" s="129" t="s">
        <v>481</v>
      </c>
      <c r="C2" s="130" t="s">
        <v>545</v>
      </c>
      <c r="D2" s="131" t="s">
        <v>493</v>
      </c>
      <c r="E2" s="131" t="s">
        <v>494</v>
      </c>
      <c r="F2" s="132" t="s">
        <v>546</v>
      </c>
      <c r="G2" s="133" t="s">
        <v>547</v>
      </c>
      <c r="H2" s="134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/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38" t="s">
        <v>52</v>
      </c>
      <c r="C3" s="146">
        <v>2.0732740420028911E-6</v>
      </c>
      <c r="D3" s="146">
        <v>4.7498147887006942E-11</v>
      </c>
      <c r="E3" s="146">
        <v>1.9976998807213682E-12</v>
      </c>
      <c r="F3" s="136">
        <v>100</v>
      </c>
      <c r="G3" s="136"/>
      <c r="H3" s="125" t="s">
        <v>606</v>
      </c>
      <c r="I3" s="49">
        <v>8.2850602720499992E-3</v>
      </c>
      <c r="J3" s="49">
        <v>4.8334111983912244E-9</v>
      </c>
      <c r="K3" s="49">
        <v>3.6117231509682049E-10</v>
      </c>
      <c r="L3" s="67">
        <v>4.6741406866519969E-9</v>
      </c>
      <c r="M3" s="26">
        <v>31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2.0732740420028911E-6</v>
      </c>
      <c r="U3" s="88"/>
      <c r="V3" s="88"/>
      <c r="W3" s="106"/>
      <c r="X3" s="106"/>
      <c r="Y3" s="92"/>
      <c r="Z3" s="87"/>
    </row>
    <row r="4" spans="1:34" ht="20.25" x14ac:dyDescent="0.35">
      <c r="A4" s="108" t="s">
        <v>527</v>
      </c>
      <c r="B4" s="143" t="s">
        <v>548</v>
      </c>
      <c r="C4" s="146">
        <f>C20</f>
        <v>3.1999999999999999E-6</v>
      </c>
      <c r="D4" s="146">
        <v>2.5307649463664093E-11</v>
      </c>
      <c r="E4" s="146">
        <v>1.486857631694136E-12</v>
      </c>
      <c r="F4" s="136">
        <v>15.2</v>
      </c>
      <c r="G4" s="136">
        <f>G21</f>
        <v>5</v>
      </c>
      <c r="H4" s="128">
        <v>1014.1224305846122</v>
      </c>
      <c r="I4" s="49">
        <v>8.45076147749E-3</v>
      </c>
      <c r="J4" s="49">
        <v>5.0724593930655893E-9</v>
      </c>
      <c r="K4" s="49">
        <v>3.5868205299741926E-10</v>
      </c>
      <c r="L4" s="67">
        <v>5.0584680822867321E-9</v>
      </c>
      <c r="M4" s="27"/>
      <c r="N4" s="18">
        <v>1.9118847878840623E-9</v>
      </c>
      <c r="O4" s="18">
        <v>4.7460493942789156E-11</v>
      </c>
      <c r="P4" s="18">
        <v>1.996833058120902E-12</v>
      </c>
      <c r="Q4" s="28">
        <v>1.6980077340635591</v>
      </c>
      <c r="R4" s="61">
        <v>100</v>
      </c>
      <c r="S4" s="58">
        <v>2.0732740420028911E-6</v>
      </c>
      <c r="U4" s="88"/>
      <c r="V4" s="88"/>
      <c r="W4" s="85"/>
      <c r="X4" s="85"/>
      <c r="Z4" s="90"/>
    </row>
    <row r="5" spans="1:34" ht="18.75" x14ac:dyDescent="0.25">
      <c r="A5" s="109"/>
      <c r="B5" s="143" t="s">
        <v>538</v>
      </c>
      <c r="C5" s="180">
        <v>5.9837903409919828E-7</v>
      </c>
      <c r="D5" s="144">
        <v>1.5392483148537927E-10</v>
      </c>
      <c r="E5" s="144">
        <v>5.0509225500401457E-8</v>
      </c>
      <c r="F5" s="128">
        <v>19.042704736991322</v>
      </c>
      <c r="G5" s="145">
        <v>5</v>
      </c>
      <c r="H5" s="125" t="s">
        <v>622</v>
      </c>
      <c r="I5" s="49">
        <v>8.6197767070400003E-3</v>
      </c>
      <c r="J5" s="49">
        <v>5.2726102756932226E-9</v>
      </c>
      <c r="K5" s="49">
        <v>3.5474687321875566E-10</v>
      </c>
      <c r="L5" s="67">
        <v>5.4743438656854483E-9</v>
      </c>
      <c r="M5" s="27"/>
      <c r="N5" s="18">
        <v>1.8688030437403994E-8</v>
      </c>
      <c r="O5" s="18">
        <v>4.7130093253124387E-11</v>
      </c>
      <c r="P5" s="18">
        <v>1.9892269814943875E-12</v>
      </c>
      <c r="Q5" s="28">
        <v>1.257533930120055</v>
      </c>
      <c r="R5" s="61">
        <v>100</v>
      </c>
      <c r="S5" s="58">
        <v>2.0751859267907752E-6</v>
      </c>
      <c r="U5" s="88"/>
      <c r="V5" s="88"/>
      <c r="W5" s="85"/>
      <c r="X5" s="85"/>
      <c r="Z5" s="90"/>
    </row>
    <row r="6" spans="1:34" x14ac:dyDescent="0.25">
      <c r="B6" s="122" t="s">
        <v>607</v>
      </c>
      <c r="C6" s="180">
        <v>2.2232676148536195E-6</v>
      </c>
      <c r="D6" s="123">
        <v>1.5392483148537927E-10</v>
      </c>
      <c r="E6" s="123">
        <v>5.0509225500401457E-8</v>
      </c>
      <c r="F6" s="128">
        <v>69.830557576301231</v>
      </c>
      <c r="G6" s="145">
        <f>F5</f>
        <v>19.042704736991322</v>
      </c>
      <c r="H6" s="185">
        <f>H4/F18</f>
        <v>2.1575349427863557</v>
      </c>
      <c r="I6" s="49">
        <v>8.7921722411800005E-3</v>
      </c>
      <c r="J6" s="49">
        <v>5.737645367988658E-9</v>
      </c>
      <c r="K6" s="49">
        <v>3.5575978221461755E-10</v>
      </c>
      <c r="L6" s="67">
        <v>5.9243469248420498E-9</v>
      </c>
      <c r="M6" s="27"/>
      <c r="N6" s="18">
        <v>4.5603249725745603E-8</v>
      </c>
      <c r="O6" s="18">
        <v>4.6600006831539166E-11</v>
      </c>
      <c r="P6" s="18">
        <v>1.9770239865631633E-12</v>
      </c>
      <c r="Q6" s="28">
        <v>0.68702736991438829</v>
      </c>
      <c r="R6" s="61">
        <v>101.69800773406357</v>
      </c>
      <c r="S6" s="58">
        <v>2.0751859267907752E-6</v>
      </c>
      <c r="U6" s="88"/>
      <c r="V6" s="88"/>
      <c r="W6" s="85"/>
      <c r="X6" s="85"/>
      <c r="Z6" s="90"/>
    </row>
    <row r="7" spans="1:34" ht="18.75" x14ac:dyDescent="0.25">
      <c r="A7" s="72" t="s">
        <v>528</v>
      </c>
      <c r="B7" s="122" t="s">
        <v>608</v>
      </c>
      <c r="C7" s="180">
        <v>4.9869309523443749E-6</v>
      </c>
      <c r="D7" s="123">
        <v>1.5392483148537927E-10</v>
      </c>
      <c r="E7" s="123">
        <v>5.0509225500401457E-8</v>
      </c>
      <c r="F7" s="142">
        <f>H4-F6</f>
        <v>944.29187300831097</v>
      </c>
      <c r="G7" s="128">
        <v>64.833298256040337</v>
      </c>
      <c r="H7" s="124" t="s">
        <v>630</v>
      </c>
      <c r="I7" s="49">
        <v>8.9680156859999992E-3</v>
      </c>
      <c r="J7" s="49">
        <v>6.3775319520351644E-9</v>
      </c>
      <c r="K7" s="49">
        <v>3.5986864700427722E-10</v>
      </c>
      <c r="L7" s="67">
        <v>6.4112688659976135E-9</v>
      </c>
      <c r="M7" s="27"/>
      <c r="N7" s="18">
        <v>7.780061408325402E-8</v>
      </c>
      <c r="O7" s="18">
        <v>4.5965890294203719E-11</v>
      </c>
      <c r="P7" s="18">
        <v>1.9624261387862496E-12</v>
      </c>
      <c r="Q7" s="28">
        <v>0.49398717986138707</v>
      </c>
      <c r="R7" s="61">
        <v>101.69800773406357</v>
      </c>
      <c r="S7" s="58">
        <v>2.091962072440295E-6</v>
      </c>
      <c r="U7" s="88"/>
      <c r="V7" s="88"/>
      <c r="W7" s="85"/>
      <c r="X7" s="85"/>
      <c r="Z7" s="90"/>
    </row>
    <row r="8" spans="1:34" x14ac:dyDescent="0.25">
      <c r="A8" s="110" t="b">
        <v>1</v>
      </c>
      <c r="B8" s="138" t="s">
        <v>601</v>
      </c>
      <c r="C8" s="179">
        <v>6.3400000000000003E-6</v>
      </c>
      <c r="D8" s="146">
        <v>0</v>
      </c>
      <c r="E8" s="146">
        <v>0</v>
      </c>
      <c r="F8" s="136">
        <v>200</v>
      </c>
      <c r="G8" s="128">
        <v>66.080591027519475</v>
      </c>
      <c r="H8" s="185">
        <f>1E+24*(C35+D32*D35)/(6.02E+23*E29)</f>
        <v>1.1814506036080898</v>
      </c>
      <c r="I8" s="49">
        <v>9.1473759997200005E-3</v>
      </c>
      <c r="J8" s="49">
        <v>7.0350559901923762E-9</v>
      </c>
      <c r="K8" s="49">
        <v>3.6587700466586838E-10</v>
      </c>
      <c r="L8" s="67">
        <v>6.9381238237172083E-9</v>
      </c>
      <c r="M8" s="27"/>
      <c r="N8" s="18">
        <v>1.1299165675740097E-7</v>
      </c>
      <c r="O8" s="18">
        <v>4.5272814243693087E-11</v>
      </c>
      <c r="P8" s="18">
        <v>1.9464709979131033E-12</v>
      </c>
      <c r="Q8" s="28">
        <v>0.39395231082994392</v>
      </c>
      <c r="R8" s="61">
        <v>102.95554166418363</v>
      </c>
      <c r="S8" s="58">
        <v>2.091962072440295E-6</v>
      </c>
      <c r="U8" s="88"/>
      <c r="V8" s="88"/>
      <c r="W8" s="85"/>
      <c r="X8" s="85"/>
      <c r="Z8" s="90"/>
    </row>
    <row r="9" spans="1:34" ht="18.75" x14ac:dyDescent="0.25">
      <c r="A9" s="72" t="s">
        <v>521</v>
      </c>
      <c r="I9" s="49">
        <v>9.3303235197199994E-3</v>
      </c>
      <c r="J9" s="49">
        <v>8.1005865784807357E-9</v>
      </c>
      <c r="K9" s="49">
        <v>3.779869453888318E-10</v>
      </c>
      <c r="L9" s="67">
        <v>7.5081668253792548E-9</v>
      </c>
      <c r="M9" s="27"/>
      <c r="N9" s="18">
        <v>1.4996820748188516E-7</v>
      </c>
      <c r="O9" s="18">
        <v>4.4544573197386748E-11</v>
      </c>
      <c r="P9" s="18">
        <v>1.9297063319361673E-12</v>
      </c>
      <c r="Q9" s="28">
        <v>0.33275700648157824</v>
      </c>
      <c r="R9" s="61">
        <v>102.95554166418363</v>
      </c>
      <c r="S9" s="58">
        <v>2.1188772917286369E-6</v>
      </c>
      <c r="U9" s="88"/>
      <c r="V9" s="88"/>
      <c r="W9" s="85"/>
      <c r="X9" s="85"/>
      <c r="Z9" s="90"/>
    </row>
    <row r="10" spans="1:34" x14ac:dyDescent="0.25">
      <c r="A10" s="73">
        <v>3.6745458240317728</v>
      </c>
      <c r="I10" s="49">
        <v>9.5169299901099996E-3</v>
      </c>
      <c r="J10" s="49">
        <v>8.6496134242010388E-9</v>
      </c>
      <c r="K10" s="49">
        <v>3.8686045103232113E-10</v>
      </c>
      <c r="L10" s="67">
        <v>8.124912693273978E-9</v>
      </c>
      <c r="M10" s="27"/>
      <c r="N10" s="18">
        <v>1.8803946127113266E-7</v>
      </c>
      <c r="O10" s="18">
        <v>4.3794772333042812E-11</v>
      </c>
      <c r="P10" s="18">
        <v>1.9124453424551424E-12</v>
      </c>
      <c r="Q10" s="28">
        <v>0.29176166947847959</v>
      </c>
      <c r="R10" s="61">
        <v>103.64256903409802</v>
      </c>
      <c r="S10" s="58">
        <v>2.1188772917286369E-6</v>
      </c>
      <c r="U10" s="88"/>
      <c r="V10" s="88"/>
      <c r="W10" s="85"/>
      <c r="X10" s="85"/>
      <c r="Z10" s="90"/>
    </row>
    <row r="11" spans="1:34" x14ac:dyDescent="0.25">
      <c r="C11" s="147"/>
      <c r="D11" s="147"/>
      <c r="H11" s="178"/>
      <c r="I11" s="49">
        <v>9.7072685899100009E-3</v>
      </c>
      <c r="J11" s="49">
        <v>8.4380190331614824E-9</v>
      </c>
      <c r="K11" s="49">
        <v>3.340062465409046E-10</v>
      </c>
      <c r="L11" s="67">
        <v>8.792154980518942E-9</v>
      </c>
      <c r="M11" s="27"/>
      <c r="N11" s="18">
        <v>2.2678926869929801E-7</v>
      </c>
      <c r="O11" s="18">
        <v>4.3031607577197406E-11</v>
      </c>
      <c r="P11" s="18">
        <v>1.8948767059686233E-12</v>
      </c>
      <c r="Q11" s="28">
        <v>0.26271923243914919</v>
      </c>
      <c r="R11" s="61">
        <v>103.64256903409802</v>
      </c>
      <c r="S11" s="58">
        <v>2.151074656086145E-6</v>
      </c>
      <c r="U11" s="88"/>
      <c r="V11" s="88"/>
      <c r="W11" s="85"/>
      <c r="X11" s="85"/>
      <c r="Z11" s="90"/>
    </row>
    <row r="12" spans="1:34" ht="19.5" x14ac:dyDescent="0.3">
      <c r="A12" s="101" t="s">
        <v>514</v>
      </c>
      <c r="C12" s="123"/>
      <c r="D12" s="123"/>
      <c r="H12" s="152"/>
      <c r="I12" s="49">
        <v>9.9014139617099994E-3</v>
      </c>
      <c r="J12" s="49">
        <v>9.5455207540233554E-9</v>
      </c>
      <c r="K12" s="49">
        <v>3.424696903419432E-10</v>
      </c>
      <c r="L12" s="67">
        <v>9.5139856097211047E-9</v>
      </c>
      <c r="M12" s="27"/>
      <c r="N12" s="18">
        <v>2.6595848337107363E-7</v>
      </c>
      <c r="O12" s="18">
        <v>4.2260182733162844E-11</v>
      </c>
      <c r="P12" s="18">
        <v>1.8771179159331748E-12</v>
      </c>
      <c r="Q12" s="28">
        <v>0.24140134114454745</v>
      </c>
      <c r="R12" s="61">
        <v>104.13655621395941</v>
      </c>
      <c r="S12" s="58">
        <v>2.151074656086145E-6</v>
      </c>
      <c r="U12" s="88"/>
      <c r="V12" s="88"/>
      <c r="W12" s="85"/>
      <c r="X12" s="85"/>
      <c r="Z12" s="90"/>
    </row>
    <row r="13" spans="1:34" x14ac:dyDescent="0.25">
      <c r="A13" s="104">
        <v>2.0000000000000001E-4</v>
      </c>
      <c r="E13" s="147"/>
      <c r="I13" s="49">
        <v>1.00994422409E-2</v>
      </c>
      <c r="J13" s="49">
        <v>9.4593804024640166E-9</v>
      </c>
      <c r="K13" s="49">
        <v>7.7969096718461086E-10</v>
      </c>
      <c r="L13" s="67">
        <v>1.0294814933618464E-8</v>
      </c>
      <c r="M13" s="27"/>
      <c r="N13" s="18">
        <v>3.0538272904356693E-7</v>
      </c>
      <c r="O13" s="18">
        <v>4.148373513716347E-11</v>
      </c>
      <c r="P13" s="18">
        <v>1.8592434983051837E-12</v>
      </c>
      <c r="Q13" s="28">
        <v>0.22541785261539266</v>
      </c>
      <c r="R13" s="61">
        <v>104.13655621395941</v>
      </c>
      <c r="S13" s="58">
        <v>2.1862656987602921E-6</v>
      </c>
      <c r="U13" s="88"/>
      <c r="V13" s="88"/>
      <c r="W13" s="85"/>
      <c r="X13" s="85"/>
      <c r="Z13" s="90"/>
    </row>
    <row r="14" spans="1:34" ht="17.25" x14ac:dyDescent="0.3">
      <c r="A14" s="101" t="s">
        <v>516</v>
      </c>
      <c r="E14" s="123"/>
      <c r="I14" s="49">
        <v>1.0301431085800001E-2</v>
      </c>
      <c r="J14" s="49">
        <v>1.0163812512505368E-8</v>
      </c>
      <c r="K14" s="49">
        <v>7.5859763819071579E-10</v>
      </c>
      <c r="L14" s="67">
        <v>1.1139391766725949E-8</v>
      </c>
      <c r="M14" s="27"/>
      <c r="N14" s="18">
        <v>3.4495720805533002E-7</v>
      </c>
      <c r="O14" s="18">
        <v>4.0704328744790822E-11</v>
      </c>
      <c r="P14" s="18">
        <v>1.8413009669212549E-12</v>
      </c>
      <c r="Q14" s="28">
        <v>0.21332256743897993</v>
      </c>
      <c r="R14" s="61">
        <v>104.53050852478935</v>
      </c>
      <c r="S14" s="58">
        <v>2.1862656987602921E-6</v>
      </c>
      <c r="U14" s="88"/>
      <c r="V14" s="88"/>
      <c r="W14" s="85"/>
      <c r="X14" s="85"/>
      <c r="Z14" s="90"/>
    </row>
    <row r="15" spans="1:34" x14ac:dyDescent="0.25">
      <c r="A15" s="135">
        <v>2.3E-2</v>
      </c>
      <c r="B15" s="201" t="s">
        <v>491</v>
      </c>
      <c r="C15" s="201"/>
      <c r="D15" s="201"/>
      <c r="E15" s="201"/>
      <c r="F15" s="201"/>
      <c r="G15" s="201"/>
      <c r="H15" s="201"/>
      <c r="I15" s="49">
        <v>1.05074597075E-2</v>
      </c>
      <c r="J15" s="49">
        <v>1.1648722307306216E-8</v>
      </c>
      <c r="K15" s="49">
        <v>8.0407866529916489E-10</v>
      </c>
      <c r="L15" s="67">
        <v>1.2052822676050918E-8</v>
      </c>
      <c r="M15" s="27"/>
      <c r="N15" s="18">
        <v>3.8461571191266849E-7</v>
      </c>
      <c r="O15" s="18">
        <v>3.9923267510626316E-11</v>
      </c>
      <c r="P15" s="18">
        <v>1.8233203398133545E-12</v>
      </c>
      <c r="Q15" s="28">
        <v>0.20419809062214259</v>
      </c>
      <c r="R15" s="61">
        <v>104.53050852478935</v>
      </c>
      <c r="S15" s="58">
        <v>2.2232422494847764E-6</v>
      </c>
      <c r="U15" s="88"/>
      <c r="V15" s="88"/>
      <c r="W15" s="85"/>
      <c r="X15" s="85"/>
      <c r="Z15" s="90"/>
    </row>
    <row r="16" spans="1:34" ht="18.75" x14ac:dyDescent="0.25">
      <c r="A16" s="102" t="s">
        <v>515</v>
      </c>
      <c r="B16" s="129" t="s">
        <v>481</v>
      </c>
      <c r="C16" s="130" t="s">
        <v>545</v>
      </c>
      <c r="D16" s="131" t="s">
        <v>493</v>
      </c>
      <c r="E16" s="131" t="s">
        <v>494</v>
      </c>
      <c r="F16" s="132" t="s">
        <v>546</v>
      </c>
      <c r="G16" s="133" t="s">
        <v>547</v>
      </c>
      <c r="H16" s="134"/>
      <c r="I16" s="49">
        <v>1.07176089016E-2</v>
      </c>
      <c r="J16" s="49">
        <v>1.1939443024867168E-8</v>
      </c>
      <c r="K16" s="49">
        <v>7.7017795600942175E-10</v>
      </c>
      <c r="L16" s="67">
        <v>1.3040589455649E-8</v>
      </c>
      <c r="M16" s="27"/>
      <c r="N16" s="18">
        <v>4.2431752823907247E-7</v>
      </c>
      <c r="O16" s="18">
        <v>3.9141353251580572E-11</v>
      </c>
      <c r="P16" s="18">
        <v>1.8053200754201398E-12</v>
      </c>
      <c r="Q16" s="28">
        <v>0.19744504814959657</v>
      </c>
      <c r="R16" s="61">
        <v>104.86326553127093</v>
      </c>
      <c r="S16" s="58">
        <v>2.2232422494847764E-6</v>
      </c>
      <c r="U16" s="88"/>
      <c r="V16" s="88"/>
      <c r="W16" s="85"/>
      <c r="X16" s="85"/>
      <c r="Z16" s="90"/>
    </row>
    <row r="17" spans="1:34" ht="19.5" x14ac:dyDescent="0.3">
      <c r="A17" s="103">
        <v>4.25</v>
      </c>
      <c r="B17" s="138" t="s">
        <v>553</v>
      </c>
      <c r="C17" s="139">
        <v>0</v>
      </c>
      <c r="D17" s="139">
        <v>0</v>
      </c>
      <c r="E17" s="139">
        <v>0</v>
      </c>
      <c r="F17" s="136">
        <v>0</v>
      </c>
      <c r="G17" s="136">
        <v>0</v>
      </c>
      <c r="H17" s="140" t="s">
        <v>643</v>
      </c>
      <c r="I17" s="49">
        <v>1.0931961079700001E-2</v>
      </c>
      <c r="J17" s="49">
        <v>1.3636772085470119E-8</v>
      </c>
      <c r="K17" s="49">
        <v>8.1102658380958518E-10</v>
      </c>
      <c r="L17" s="67">
        <v>1.4108563138157933E-8</v>
      </c>
      <c r="M17" s="27"/>
      <c r="N17" s="18">
        <v>4.6403893400039214E-7</v>
      </c>
      <c r="O17" s="18">
        <v>3.8359053185035211E-11</v>
      </c>
      <c r="P17" s="18">
        <v>1.7873109294431481E-12</v>
      </c>
      <c r="Q17" s="28">
        <v>0.19266786017905851</v>
      </c>
      <c r="R17" s="61">
        <v>104.86326553127093</v>
      </c>
      <c r="S17" s="58">
        <v>2.2613135032740239E-6</v>
      </c>
      <c r="U17" s="88"/>
      <c r="V17" s="88"/>
      <c r="W17" s="85"/>
      <c r="X17" s="85"/>
      <c r="Z17" s="90"/>
    </row>
    <row r="18" spans="1:34" x14ac:dyDescent="0.25">
      <c r="B18" s="122" t="s">
        <v>600</v>
      </c>
      <c r="C18" s="141">
        <f>H18</f>
        <v>9.2948336630918457E-7</v>
      </c>
      <c r="D18" s="123">
        <v>1.5392483148537927E-10</v>
      </c>
      <c r="E18" s="123">
        <v>5.0509225500401457E-8</v>
      </c>
      <c r="F18" s="142">
        <f>20*H20</f>
        <v>470.03754630964187</v>
      </c>
      <c r="G18" s="128">
        <v>10.57330511039725</v>
      </c>
      <c r="H18" s="141">
        <f>H22*((1-H24)*C26+H24*D26/2)</f>
        <v>9.2948336630918457E-7</v>
      </c>
      <c r="I18" s="49">
        <v>1.1150600301300001E-2</v>
      </c>
      <c r="J18" s="49">
        <v>1.5425480260722957E-8</v>
      </c>
      <c r="K18" s="49">
        <v>8.5637848082411709E-10</v>
      </c>
      <c r="L18" s="67">
        <v>1.5263012105839437E-8</v>
      </c>
      <c r="N18" s="18">
        <v>5.037674364550516E-7</v>
      </c>
      <c r="O18" s="18">
        <v>3.7576613351440683E-11</v>
      </c>
      <c r="P18" s="18">
        <v>1.7692985659217652E-12</v>
      </c>
      <c r="Q18" s="28">
        <v>0.1896101273712924</v>
      </c>
      <c r="R18" s="61">
        <v>105.1550272007494</v>
      </c>
      <c r="S18" s="58">
        <v>2.2613135032740239E-6</v>
      </c>
      <c r="U18" s="88"/>
      <c r="V18" s="88"/>
      <c r="W18" s="85"/>
      <c r="X18" s="85"/>
    </row>
    <row r="19" spans="1:34" ht="17.25" x14ac:dyDescent="0.3">
      <c r="B19" s="143" t="s">
        <v>538</v>
      </c>
      <c r="C19" s="180">
        <v>1.5831117911844798E-6</v>
      </c>
      <c r="D19" s="144">
        <v>1.5392483148537927E-10</v>
      </c>
      <c r="E19" s="144">
        <v>5.0509225500401457E-8</v>
      </c>
      <c r="F19" s="145">
        <v>25.040992731044028</v>
      </c>
      <c r="G19" s="145">
        <f>F19</f>
        <v>25.040992731044028</v>
      </c>
      <c r="H19" s="125" t="s">
        <v>604</v>
      </c>
      <c r="I19" s="49">
        <v>1.13736123073E-2</v>
      </c>
      <c r="J19" s="49">
        <v>1.5562822235268468E-8</v>
      </c>
      <c r="K19" s="49">
        <v>8.3720600834310332E-10</v>
      </c>
      <c r="L19" s="67">
        <v>1.6510600746862252E-8</v>
      </c>
      <c r="N19" s="18">
        <v>5.434976866015154E-7</v>
      </c>
      <c r="O19" s="18">
        <v>3.679413909762893E-11</v>
      </c>
      <c r="P19" s="18">
        <v>1.7512854100206512E-12</v>
      </c>
      <c r="Q19" s="28">
        <v>0.18811755892212728</v>
      </c>
      <c r="R19" s="61">
        <v>105.1550272007494</v>
      </c>
      <c r="S19" s="58">
        <v>2.3000633107021889E-6</v>
      </c>
      <c r="U19" s="88"/>
      <c r="V19" s="88"/>
      <c r="W19" s="85"/>
      <c r="X19" s="85"/>
    </row>
    <row r="20" spans="1:34" ht="18.75" x14ac:dyDescent="0.35">
      <c r="B20" s="143" t="s">
        <v>548</v>
      </c>
      <c r="C20" s="146">
        <v>3.1999999999999999E-6</v>
      </c>
      <c r="D20" s="146">
        <v>2.5307649463664093E-11</v>
      </c>
      <c r="E20" s="146">
        <v>1.486857631694136E-12</v>
      </c>
      <c r="F20" s="153">
        <v>17.157520093221866</v>
      </c>
      <c r="G20" s="153">
        <v>5.7377110317964011</v>
      </c>
      <c r="H20" s="128">
        <v>23.501877315482094</v>
      </c>
      <c r="I20" s="49">
        <v>1.1601084553400001E-2</v>
      </c>
      <c r="J20" s="49">
        <v>1.6915733986277694E-8</v>
      </c>
      <c r="K20" s="49">
        <v>8.4385744835455034E-10</v>
      </c>
      <c r="L20" s="67">
        <v>1.7858373623332178E-8</v>
      </c>
      <c r="N20" s="18">
        <v>5.8322827139559333E-7</v>
      </c>
      <c r="O20" s="18">
        <v>3.6011658253042105E-11</v>
      </c>
      <c r="P20" s="18">
        <v>1.733272102394853E-12</v>
      </c>
      <c r="Q20" s="28">
        <v>0.18811755892212728</v>
      </c>
      <c r="R20" s="61">
        <v>105.41774643318855</v>
      </c>
      <c r="S20" s="58">
        <v>2.3000633107021889E-6</v>
      </c>
      <c r="U20" s="88"/>
      <c r="V20" s="88"/>
      <c r="W20" s="85"/>
      <c r="X20" s="85"/>
    </row>
    <row r="21" spans="1:34" s="17" customFormat="1" ht="18.75" x14ac:dyDescent="0.25">
      <c r="A21" s="64"/>
      <c r="B21" s="138" t="s">
        <v>52</v>
      </c>
      <c r="C21" s="146">
        <v>2.0732740420028911E-6</v>
      </c>
      <c r="D21" s="146">
        <v>4.7498147887006942E-11</v>
      </c>
      <c r="E21" s="146">
        <v>1.9976998807213682E-12</v>
      </c>
      <c r="F21" s="136">
        <v>100</v>
      </c>
      <c r="G21" s="136">
        <v>5</v>
      </c>
      <c r="H21" s="124" t="s">
        <v>605</v>
      </c>
      <c r="I21" s="49">
        <v>1.18331062445E-2</v>
      </c>
      <c r="J21" s="49">
        <v>1.8494003382153603E-8</v>
      </c>
      <c r="K21" s="49">
        <v>7.327944501451464E-10</v>
      </c>
      <c r="L21" s="67">
        <v>1.9313718510080458E-8</v>
      </c>
      <c r="M21" s="31"/>
      <c r="N21" s="18">
        <v>6.2295852154205714E-7</v>
      </c>
      <c r="O21" s="18">
        <v>3.5229183999230352E-11</v>
      </c>
      <c r="P21" s="30">
        <v>1.715258946493739E-12</v>
      </c>
      <c r="Q21" s="66">
        <v>0.1896101273712924</v>
      </c>
      <c r="R21" s="63">
        <v>105.41774643318855</v>
      </c>
      <c r="S21" s="62">
        <v>2.3392325253739647E-6</v>
      </c>
      <c r="T21" s="88"/>
      <c r="U21" s="88"/>
      <c r="V21" s="88"/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B22" s="147"/>
      <c r="H22" s="148">
        <v>0.88818286317170048</v>
      </c>
      <c r="I22" s="49">
        <v>1.20697683694E-2</v>
      </c>
      <c r="J22" s="49">
        <v>2.1612386201140231E-8</v>
      </c>
      <c r="K22" s="49">
        <v>7.7764298602248589E-10</v>
      </c>
      <c r="L22" s="67">
        <v>2.0884300720998074E-8</v>
      </c>
      <c r="N22" s="18">
        <v>6.6268702399671655E-7</v>
      </c>
      <c r="O22" s="18">
        <v>3.4446744165635824E-11</v>
      </c>
      <c r="P22" s="18">
        <v>1.6972465829723561E-12</v>
      </c>
      <c r="Q22" s="28">
        <v>0.19266786017905851</v>
      </c>
      <c r="R22" s="61">
        <v>105.65914777433311</v>
      </c>
      <c r="S22" s="58">
        <v>2.3392325253739647E-6</v>
      </c>
      <c r="U22" s="88"/>
      <c r="V22" s="88"/>
      <c r="W22" s="85"/>
      <c r="X22" s="85"/>
    </row>
    <row r="23" spans="1:34" ht="17.25" x14ac:dyDescent="0.25">
      <c r="B23" s="123"/>
      <c r="H23" s="124" t="s">
        <v>581</v>
      </c>
      <c r="I23" s="49">
        <v>1.2311163736799999E-2</v>
      </c>
      <c r="J23" s="49">
        <v>2.3032407627681905E-8</v>
      </c>
      <c r="K23" s="49">
        <v>1.4481991586089848E-9</v>
      </c>
      <c r="L23" s="67">
        <v>2.2577963546804641E-8</v>
      </c>
      <c r="N23" s="18">
        <v>7.0240842975803627E-7</v>
      </c>
      <c r="O23" s="18">
        <v>3.3664444099090463E-11</v>
      </c>
      <c r="P23" s="18">
        <v>1.6792374369953644E-12</v>
      </c>
      <c r="Q23" s="28">
        <v>0.19744504814959657</v>
      </c>
      <c r="R23" s="61">
        <v>105.65914777433311</v>
      </c>
      <c r="S23" s="58">
        <v>2.3786567710464578E-6</v>
      </c>
      <c r="U23" s="88"/>
      <c r="V23" s="88"/>
      <c r="W23" s="85"/>
      <c r="X23" s="85"/>
    </row>
    <row r="24" spans="1:34" x14ac:dyDescent="0.25">
      <c r="H24" s="149">
        <v>0.1</v>
      </c>
      <c r="I24" s="49">
        <v>1.25573870115E-2</v>
      </c>
      <c r="J24" s="49">
        <v>2.6263051687466897E-8</v>
      </c>
      <c r="K24" s="49">
        <v>1.5408987382808735E-9</v>
      </c>
      <c r="L24" s="67">
        <v>2.4402602450512134E-8</v>
      </c>
      <c r="N24" s="18">
        <v>7.4211024608444025E-7</v>
      </c>
      <c r="O24" s="18">
        <v>3.2882529840044719E-11</v>
      </c>
      <c r="P24" s="18">
        <v>1.6612371726021495E-12</v>
      </c>
      <c r="Q24" s="28">
        <v>0.20419809062214259</v>
      </c>
      <c r="R24" s="61">
        <v>105.8845656269485</v>
      </c>
      <c r="S24" s="58">
        <v>2.3786567710464578E-6</v>
      </c>
      <c r="U24" s="88"/>
      <c r="V24" s="88"/>
      <c r="W24" s="85"/>
      <c r="X24" s="85"/>
    </row>
    <row r="25" spans="1:34" ht="19.5" x14ac:dyDescent="0.3">
      <c r="C25" s="125" t="s">
        <v>650</v>
      </c>
      <c r="D25" s="125" t="s">
        <v>651</v>
      </c>
      <c r="H25" s="178"/>
      <c r="I25" s="49">
        <v>1.2808534751700001E-2</v>
      </c>
      <c r="J25" s="49">
        <v>2.5154715405346261E-8</v>
      </c>
      <c r="K25" s="49">
        <v>1.4288884635532041E-9</v>
      </c>
      <c r="L25" s="67">
        <v>2.6366155752238948E-8</v>
      </c>
      <c r="N25" s="18">
        <v>7.8176874994177867E-7</v>
      </c>
      <c r="O25" s="18">
        <v>3.2101468605880213E-11</v>
      </c>
      <c r="P25" s="18">
        <v>1.6432565454942491E-12</v>
      </c>
      <c r="Q25" s="28">
        <v>0.21332256743897993</v>
      </c>
      <c r="R25" s="61">
        <v>105.8845656269485</v>
      </c>
      <c r="S25" s="58">
        <v>2.4182312500582213E-6</v>
      </c>
      <c r="U25" s="88"/>
      <c r="V25" s="88"/>
      <c r="W25" s="85"/>
      <c r="X25" s="85"/>
    </row>
    <row r="26" spans="1:34" x14ac:dyDescent="0.25">
      <c r="C26" s="141">
        <v>1.1000000000000001E-6</v>
      </c>
      <c r="D26" s="141">
        <v>1.13E-6</v>
      </c>
      <c r="H26" s="152"/>
      <c r="I26" s="49">
        <v>1.3064705446799999E-2</v>
      </c>
      <c r="J26" s="49">
        <v>2.9247610286914431E-8</v>
      </c>
      <c r="K26" s="49">
        <v>1.5488958118638154E-9</v>
      </c>
      <c r="L26" s="67">
        <v>2.8476305592390542E-8</v>
      </c>
      <c r="N26" s="18">
        <v>8.2134322895354181E-7</v>
      </c>
      <c r="O26" s="18">
        <v>3.1322062213507565E-11</v>
      </c>
      <c r="P26" s="18">
        <v>1.6253140141103205E-12</v>
      </c>
      <c r="Q26" s="28">
        <v>0.22541785261539266</v>
      </c>
      <c r="R26" s="61">
        <v>106.09788819438748</v>
      </c>
      <c r="S26" s="58">
        <v>2.4182312500582213E-6</v>
      </c>
      <c r="U26" s="88"/>
      <c r="V26" s="88"/>
      <c r="W26" s="85"/>
      <c r="X26" s="85"/>
    </row>
    <row r="27" spans="1:34" x14ac:dyDescent="0.25">
      <c r="E27" s="147"/>
      <c r="I27" s="49">
        <v>1.33259995557E-2</v>
      </c>
      <c r="J27" s="49">
        <v>3.2007396058171103E-8</v>
      </c>
      <c r="K27" s="49">
        <v>1.5851839481569083E-9</v>
      </c>
      <c r="L27" s="67">
        <v>3.0741612179917468E-8</v>
      </c>
      <c r="N27" s="18">
        <v>8.6076747462603511E-7</v>
      </c>
      <c r="O27" s="18">
        <v>3.0545614617508191E-11</v>
      </c>
      <c r="P27" s="18">
        <v>1.6074395964823297E-12</v>
      </c>
      <c r="Q27" s="28">
        <v>0.24140134114454745</v>
      </c>
      <c r="R27" s="61">
        <v>106.09788819438748</v>
      </c>
      <c r="S27" s="58">
        <v>2.4578897539155598E-6</v>
      </c>
      <c r="U27" s="88"/>
      <c r="V27" s="88"/>
      <c r="W27" s="85"/>
      <c r="X27" s="85"/>
    </row>
    <row r="28" spans="1:34" ht="18.75" x14ac:dyDescent="0.25">
      <c r="C28" s="130" t="s">
        <v>620</v>
      </c>
      <c r="D28" s="130" t="s">
        <v>621</v>
      </c>
      <c r="E28" s="130" t="s">
        <v>623</v>
      </c>
      <c r="F28" s="130" t="s">
        <v>631</v>
      </c>
      <c r="I28" s="49">
        <v>1.35925195468E-2</v>
      </c>
      <c r="J28" s="49">
        <v>3.0723282356399688E-8</v>
      </c>
      <c r="K28" s="49">
        <v>1.5141415626366686E-9</v>
      </c>
      <c r="L28" s="67">
        <v>3.317305387273271E-8</v>
      </c>
      <c r="N28" s="18">
        <v>8.999366892978107E-7</v>
      </c>
      <c r="O28" s="18">
        <v>2.9774189773473629E-11</v>
      </c>
      <c r="P28" s="18">
        <v>1.5896808064468809E-12</v>
      </c>
      <c r="Q28" s="28">
        <v>0.26271923243914919</v>
      </c>
      <c r="R28" s="61">
        <v>106.30208628500962</v>
      </c>
      <c r="S28" s="58">
        <v>2.4578897539155598E-6</v>
      </c>
      <c r="U28" s="88"/>
      <c r="V28" s="88"/>
      <c r="W28" s="85"/>
      <c r="X28" s="85"/>
    </row>
    <row r="29" spans="1:34" x14ac:dyDescent="0.25">
      <c r="C29" s="141">
        <f>0.00001*((1-H24)*(4*PMAAx!G3+6*PMAAx!G5+2*PMAAx!G7)+H24*(10*PMAAx!G3+16*PMAAx!G5+2*PMAAx!G6+2*PMAAx!G7)/2)</f>
        <v>1.601858E-4</v>
      </c>
      <c r="D29" s="142">
        <f>C29/H18</f>
        <v>172.33853321772688</v>
      </c>
      <c r="E29" s="142">
        <f>H6*D29</f>
        <v>371.82640740579279</v>
      </c>
      <c r="F29" s="141">
        <f>E29*C7-C29</f>
        <v>1.6940868199909578E-3</v>
      </c>
      <c r="I29" s="49">
        <v>1.3864369937800001E-2</v>
      </c>
      <c r="J29" s="49">
        <v>3.3493386178841423E-8</v>
      </c>
      <c r="K29" s="49">
        <v>1.5638192249372828E-9</v>
      </c>
      <c r="L29" s="67">
        <v>3.5788436309273496E-8</v>
      </c>
      <c r="N29" s="18">
        <v>9.386864967259761E-7</v>
      </c>
      <c r="O29" s="18">
        <v>2.9011025017628223E-11</v>
      </c>
      <c r="P29" s="18">
        <v>1.572112169960362E-12</v>
      </c>
      <c r="Q29" s="28">
        <v>0.29176166947847959</v>
      </c>
      <c r="R29" s="61">
        <v>106.30208628500962</v>
      </c>
      <c r="S29" s="58">
        <v>2.4975915702419636E-6</v>
      </c>
      <c r="U29" s="88"/>
      <c r="V29" s="88"/>
      <c r="W29" s="85"/>
      <c r="X29" s="85"/>
    </row>
    <row r="30" spans="1:34" x14ac:dyDescent="0.25">
      <c r="I30" s="49">
        <v>1.41416573365E-2</v>
      </c>
      <c r="J30" s="49">
        <v>3.8406576887776322E-8</v>
      </c>
      <c r="K30" s="49">
        <v>1.6922444631754138E-9</v>
      </c>
      <c r="L30" s="67">
        <v>3.8290534650354133E-8</v>
      </c>
      <c r="N30" s="18">
        <v>9.7675775051522363E-7</v>
      </c>
      <c r="O30" s="18">
        <v>2.8261224153284287E-11</v>
      </c>
      <c r="P30" s="18">
        <v>1.5548511804793371E-12</v>
      </c>
      <c r="Q30" s="28">
        <v>0.33275700648157824</v>
      </c>
      <c r="R30" s="61">
        <v>106.49953133315923</v>
      </c>
      <c r="S30" s="58">
        <v>2.4975915702419636E-6</v>
      </c>
      <c r="U30" s="88"/>
      <c r="V30" s="88"/>
      <c r="W30" s="85"/>
      <c r="X30" s="85"/>
    </row>
    <row r="31" spans="1:34" ht="18.75" x14ac:dyDescent="0.25">
      <c r="C31" s="130" t="s">
        <v>624</v>
      </c>
      <c r="D31" s="130" t="s">
        <v>628</v>
      </c>
      <c r="E31" s="130" t="s">
        <v>625</v>
      </c>
      <c r="F31" s="130" t="s">
        <v>626</v>
      </c>
      <c r="I31" s="49">
        <v>1.4424490483200001E-2</v>
      </c>
      <c r="J31" s="49">
        <v>3.7228534075885138E-8</v>
      </c>
      <c r="K31" s="49">
        <v>1.6071823568495745E-9</v>
      </c>
      <c r="L31" s="67">
        <v>3.6868846325511626E-8</v>
      </c>
      <c r="N31" s="18">
        <v>1.0137343012397077E-6</v>
      </c>
      <c r="O31" s="18">
        <v>2.7532983106977951E-11</v>
      </c>
      <c r="P31" s="18">
        <v>1.5380865145024009E-12</v>
      </c>
      <c r="Q31" s="28">
        <v>0.39395231082994392</v>
      </c>
      <c r="R31" s="61">
        <v>106.49953133315923</v>
      </c>
      <c r="S31" s="58">
        <v>2.5373129760032834E-6</v>
      </c>
      <c r="U31" s="88"/>
      <c r="V31" s="88"/>
      <c r="W31" s="85"/>
      <c r="X31" s="85"/>
    </row>
    <row r="32" spans="1:34" x14ac:dyDescent="0.25">
      <c r="C32" s="141">
        <f>0.00001*(2*PMAAx!G4+PMAAx!G7)</f>
        <v>1.9145000000000002E-4</v>
      </c>
      <c r="D32" s="142">
        <f>F29/C32</f>
        <v>8.848716740616128</v>
      </c>
      <c r="E32" s="142">
        <f>1/ScatteringParameters!C21</f>
        <v>29.929364580527377</v>
      </c>
      <c r="F32" s="142">
        <f>E29/E32</f>
        <v>12.423464801778994</v>
      </c>
      <c r="I32" s="49">
        <v>1.47129802929E-2</v>
      </c>
      <c r="J32" s="49">
        <v>2.4651150360947445E-8</v>
      </c>
      <c r="K32" s="49">
        <v>1.2899671529773282E-9</v>
      </c>
      <c r="L32" s="67">
        <v>2.5664326592959137E-8</v>
      </c>
      <c r="N32" s="18">
        <v>1.0489253439138547E-6</v>
      </c>
      <c r="O32" s="18">
        <v>2.6839907056467316E-11</v>
      </c>
      <c r="P32" s="18">
        <v>1.5221313736292546E-12</v>
      </c>
      <c r="Q32" s="28">
        <v>0.49398717986138707</v>
      </c>
      <c r="R32" s="61">
        <v>106.69219919333828</v>
      </c>
      <c r="S32" s="58">
        <v>2.5373129760032834E-6</v>
      </c>
      <c r="U32" s="88"/>
      <c r="V32" s="88"/>
      <c r="W32" s="85"/>
      <c r="X32" s="85"/>
    </row>
    <row r="33" spans="3:24" x14ac:dyDescent="0.25">
      <c r="I33" s="49">
        <v>1.50072398988E-2</v>
      </c>
      <c r="J33" s="49">
        <v>1.2191426309305001E-8</v>
      </c>
      <c r="K33" s="49">
        <v>8.9816804643931535E-10</v>
      </c>
      <c r="L33" s="67">
        <v>1.1951942486322373E-8</v>
      </c>
      <c r="N33" s="18">
        <v>1.0811227082713632E-6</v>
      </c>
      <c r="O33" s="18">
        <v>2.6205790519131872E-11</v>
      </c>
      <c r="P33" s="18">
        <v>1.5075335258523411E-12</v>
      </c>
      <c r="Q33" s="28">
        <v>0.68702736991438829</v>
      </c>
      <c r="R33" s="61">
        <v>106.69219919333828</v>
      </c>
      <c r="S33" s="58">
        <v>2.5770414784579428E-6</v>
      </c>
      <c r="U33" s="88"/>
      <c r="V33" s="88"/>
      <c r="W33" s="85"/>
      <c r="X33" s="85"/>
    </row>
    <row r="34" spans="3:24" ht="18.75" x14ac:dyDescent="0.25">
      <c r="C34" s="130" t="s">
        <v>627</v>
      </c>
      <c r="D34" s="130" t="s">
        <v>629</v>
      </c>
      <c r="I34" s="49">
        <v>1.53073846967E-2</v>
      </c>
      <c r="J34" s="49">
        <v>4.6350192022963999E-9</v>
      </c>
      <c r="K34" s="49">
        <v>5.9603408777609233E-10</v>
      </c>
      <c r="L34" s="67">
        <v>3.983150402449927E-9</v>
      </c>
      <c r="N34" s="18">
        <v>1.1080379275597048E-6</v>
      </c>
      <c r="O34" s="18">
        <v>2.5675704097546647E-11</v>
      </c>
      <c r="P34" s="18">
        <v>1.4953305309211167E-12</v>
      </c>
      <c r="Q34" s="28">
        <v>1.257533930120055</v>
      </c>
      <c r="R34" s="61">
        <v>106.88180932070958</v>
      </c>
      <c r="S34" s="58">
        <v>2.5770414784579428E-6</v>
      </c>
      <c r="U34" s="88"/>
      <c r="V34" s="88"/>
      <c r="W34" s="85"/>
      <c r="X34" s="85"/>
    </row>
    <row r="35" spans="3:24" x14ac:dyDescent="0.25">
      <c r="C35" s="185">
        <f>(1-H24)*(4*PMAAx!E3+6*PMAAx!E5+2*PMAAx!E7)+H24*(10*PMAAx!E3+16*PMAAx!E5+2*PMAAx!E6+2*PMAAx!E7)/2</f>
        <v>87.304000000000002</v>
      </c>
      <c r="D35" s="185">
        <f>2*PMAAx!E4+PMAAx!E7</f>
        <v>20.02</v>
      </c>
      <c r="I35" s="49">
        <v>1.56135323907E-2</v>
      </c>
      <c r="J35" s="49">
        <v>1.3169698751196753E-9</v>
      </c>
      <c r="K35" s="49">
        <v>1.6162872693627166E-10</v>
      </c>
      <c r="L35" s="67">
        <v>1.079316748007711E-9</v>
      </c>
      <c r="N35" s="18">
        <v>1.1248140732092247E-6</v>
      </c>
      <c r="O35" s="18">
        <v>2.5345303407881879E-11</v>
      </c>
      <c r="P35" s="18">
        <v>1.4877244542946022E-12</v>
      </c>
      <c r="Q35" s="28">
        <v>1.6980077340635591</v>
      </c>
      <c r="R35" s="61">
        <v>106.88180932070958</v>
      </c>
      <c r="S35" s="58">
        <v>2.6167717286044063E-6</v>
      </c>
      <c r="U35" s="88"/>
      <c r="V35" s="88"/>
      <c r="W35" s="85"/>
      <c r="X35" s="85"/>
    </row>
    <row r="36" spans="3:24" x14ac:dyDescent="0.25">
      <c r="I36" s="49">
        <v>1.5925803038500001E-2</v>
      </c>
      <c r="J36" s="49">
        <v>8.15131008123742E-10</v>
      </c>
      <c r="K36" s="49">
        <v>1.3823495111984096E-10</v>
      </c>
      <c r="L36" s="67">
        <v>7.9655345431208816E-10</v>
      </c>
      <c r="N36" s="18">
        <v>1.1267259579971087E-6</v>
      </c>
      <c r="O36" s="18">
        <v>2.5307649463664093E-11</v>
      </c>
      <c r="P36" s="18">
        <v>1.486857631694136E-12</v>
      </c>
      <c r="Q36" s="28">
        <v>1.0601462407366427</v>
      </c>
      <c r="R36" s="61">
        <v>107.06992687963171</v>
      </c>
      <c r="S36" s="58">
        <v>2.6167717286044063E-6</v>
      </c>
      <c r="U36" s="88"/>
      <c r="V36" s="88"/>
      <c r="W36" s="85"/>
      <c r="X36" s="85"/>
    </row>
    <row r="37" spans="3:24" x14ac:dyDescent="0.25">
      <c r="I37" s="49">
        <v>1.6244319099299999E-2</v>
      </c>
      <c r="J37" s="49">
        <v>1.9159415866553007E-9</v>
      </c>
      <c r="K37" s="49">
        <v>1.8877024079909444E-10</v>
      </c>
      <c r="L37" s="67">
        <v>1.8096444264059807E-9</v>
      </c>
      <c r="N37" s="18">
        <v>1.1223113978165766E-6</v>
      </c>
      <c r="O37" s="18">
        <v>2.5525893511404817E-11</v>
      </c>
      <c r="P37" s="18">
        <v>8.7190907046861098E-11</v>
      </c>
      <c r="Q37" s="28">
        <v>1.6980077340635591</v>
      </c>
      <c r="R37" s="61">
        <v>107.06992687963171</v>
      </c>
      <c r="S37" s="58">
        <v>2.6565023133984842E-6</v>
      </c>
      <c r="U37" s="88"/>
      <c r="V37" s="88"/>
      <c r="W37" s="85"/>
      <c r="X37" s="85"/>
    </row>
    <row r="38" spans="3:24" x14ac:dyDescent="0.25">
      <c r="I38" s="49">
        <v>1.65692054812E-2</v>
      </c>
      <c r="J38" s="49">
        <v>3.1180542079927622E-9</v>
      </c>
      <c r="K38" s="49">
        <v>2.3737716946089121E-10</v>
      </c>
      <c r="L38" s="67">
        <v>3.3032491540817727E-9</v>
      </c>
      <c r="N38" s="18">
        <v>1.0835751177663848E-6</v>
      </c>
      <c r="O38" s="18">
        <v>2.7440911589503134E-11</v>
      </c>
      <c r="P38" s="18">
        <v>8.392151005829844E-10</v>
      </c>
      <c r="Q38" s="28">
        <v>1.257533930120055</v>
      </c>
      <c r="R38" s="61">
        <v>107.25804443855384</v>
      </c>
      <c r="S38" s="58">
        <v>2.6565023133984842E-6</v>
      </c>
      <c r="U38" s="88"/>
      <c r="V38" s="88"/>
      <c r="W38" s="85"/>
      <c r="X38" s="85"/>
    </row>
    <row r="39" spans="3:24" x14ac:dyDescent="0.25">
      <c r="I39" s="49">
        <v>1.69005895909E-2</v>
      </c>
      <c r="J39" s="49">
        <v>4.9796232337560112E-9</v>
      </c>
      <c r="K39" s="49">
        <v>3.0118461658084852E-10</v>
      </c>
      <c r="L39" s="67">
        <v>4.7561896466375925E-9</v>
      </c>
      <c r="N39" s="18">
        <v>1.0214276201380868E-6</v>
      </c>
      <c r="O39" s="18">
        <v>3.051331764688794E-11</v>
      </c>
      <c r="P39" s="18">
        <v>2.0457434952468819E-9</v>
      </c>
      <c r="Q39" s="28">
        <v>0.68702736991438829</v>
      </c>
      <c r="R39" s="61">
        <v>107.25804443855384</v>
      </c>
      <c r="S39" s="58">
        <v>2.6962325635449482E-6</v>
      </c>
      <c r="U39" s="88"/>
      <c r="V39" s="88"/>
      <c r="W39" s="85"/>
      <c r="X39" s="85"/>
    </row>
    <row r="40" spans="3:24" x14ac:dyDescent="0.25">
      <c r="I40" s="49">
        <v>1.7238601382699999E-2</v>
      </c>
      <c r="J40" s="49">
        <v>5.8027592626653496E-9</v>
      </c>
      <c r="K40" s="49">
        <v>3.2099004120945005E-10</v>
      </c>
      <c r="L40" s="67">
        <v>5.8554834032526292E-9</v>
      </c>
      <c r="N40" s="18">
        <v>9.4708359924755534E-7</v>
      </c>
      <c r="O40" s="18">
        <v>3.4188687192425441E-11</v>
      </c>
      <c r="P40" s="18">
        <v>3.4890545793776328E-9</v>
      </c>
      <c r="Q40" s="28">
        <v>0.49398717986138707</v>
      </c>
      <c r="R40" s="61">
        <v>107.44765456592513</v>
      </c>
      <c r="S40" s="58">
        <v>2.6962325635449482E-6</v>
      </c>
      <c r="U40" s="88"/>
      <c r="V40" s="88"/>
      <c r="W40" s="85"/>
      <c r="X40" s="85"/>
    </row>
    <row r="41" spans="3:24" x14ac:dyDescent="0.25">
      <c r="I41" s="49">
        <v>1.7583373410300002E-2</v>
      </c>
      <c r="J41" s="49">
        <v>6.7202383994422849E-9</v>
      </c>
      <c r="K41" s="49">
        <v>3.4258332336113657E-10</v>
      </c>
      <c r="L41" s="67">
        <v>6.4330918393163163E-9</v>
      </c>
      <c r="N41" s="18">
        <v>8.6582714661756679E-7</v>
      </c>
      <c r="O41" s="18">
        <v>3.8205788874542113E-11</v>
      </c>
      <c r="P41" s="18">
        <v>5.0665632657950028E-9</v>
      </c>
      <c r="Q41" s="28">
        <v>0.39395231082994392</v>
      </c>
      <c r="R41" s="61">
        <v>107.44765456592513</v>
      </c>
      <c r="S41" s="58">
        <v>2.7359610659996076E-6</v>
      </c>
      <c r="U41" s="88"/>
      <c r="V41" s="88"/>
      <c r="W41" s="85"/>
      <c r="X41" s="85"/>
    </row>
    <row r="42" spans="3:24" x14ac:dyDescent="0.25">
      <c r="I42" s="49">
        <v>1.7935040878500001E-2</v>
      </c>
      <c r="J42" s="49">
        <v>6.3706183686505657E-9</v>
      </c>
      <c r="K42" s="49">
        <v>3.2504548910168258E-10</v>
      </c>
      <c r="L42" s="67">
        <v>6.4287271413558996E-9</v>
      </c>
      <c r="N42" s="18">
        <v>7.8044793889742359E-7</v>
      </c>
      <c r="O42" s="18">
        <v>4.2426708541219727E-11</v>
      </c>
      <c r="P42" s="18">
        <v>6.7241109122726373E-9</v>
      </c>
      <c r="Q42" s="28">
        <v>0.33275700648157824</v>
      </c>
      <c r="R42" s="61">
        <v>107.64032242610419</v>
      </c>
      <c r="S42" s="58">
        <v>2.7359610659996076E-6</v>
      </c>
      <c r="U42" s="88"/>
      <c r="V42" s="88"/>
      <c r="W42" s="85"/>
      <c r="X42" s="85"/>
    </row>
    <row r="43" spans="3:24" x14ac:dyDescent="0.25">
      <c r="I43" s="49">
        <v>1.8293741696099999E-2</v>
      </c>
      <c r="J43" s="49">
        <v>6.1493767907026863E-9</v>
      </c>
      <c r="K43" s="49">
        <v>3.2516956676479857E-10</v>
      </c>
      <c r="L43" s="67">
        <v>5.872970998668095E-9</v>
      </c>
      <c r="N43" s="18">
        <v>6.9254105137678406E-7</v>
      </c>
      <c r="O43" s="18">
        <v>4.677258993647123E-11</v>
      </c>
      <c r="P43" s="18">
        <v>8.4307308073250646E-9</v>
      </c>
      <c r="Q43" s="28">
        <v>0.29176166947847959</v>
      </c>
      <c r="R43" s="61">
        <v>107.64032242610419</v>
      </c>
      <c r="S43" s="58">
        <v>2.7756824717609274E-6</v>
      </c>
      <c r="U43" s="88"/>
      <c r="V43" s="88"/>
      <c r="W43" s="85"/>
      <c r="X43" s="85"/>
    </row>
    <row r="44" spans="3:24" x14ac:dyDescent="0.25">
      <c r="I44" s="49">
        <v>1.8659616529999999E-2</v>
      </c>
      <c r="J44" s="49">
        <v>4.7938346262276365E-9</v>
      </c>
      <c r="K44" s="49">
        <v>2.7638532909632353E-10</v>
      </c>
      <c r="L44" s="67">
        <v>4.8786507246241508E-9</v>
      </c>
      <c r="N44" s="18">
        <v>6.0306737704257444E-7</v>
      </c>
      <c r="O44" s="18">
        <v>5.1195929081114899E-11</v>
      </c>
      <c r="P44" s="18">
        <v>1.0167768222810309E-8</v>
      </c>
      <c r="Q44" s="28">
        <v>0.26271923243914919</v>
      </c>
      <c r="R44" s="61">
        <v>107.83776747425379</v>
      </c>
      <c r="S44" s="58">
        <v>2.7756824717609274E-6</v>
      </c>
      <c r="U44" s="88"/>
      <c r="V44" s="88"/>
      <c r="W44" s="85"/>
      <c r="X44" s="85"/>
    </row>
    <row r="45" spans="3:24" x14ac:dyDescent="0.25">
      <c r="I45" s="49">
        <v>1.9032808860599999E-2</v>
      </c>
      <c r="J45" s="49">
        <v>3.5514497411946484E-9</v>
      </c>
      <c r="K45" s="49">
        <v>2.4076218893887605E-10</v>
      </c>
      <c r="L45" s="67">
        <v>3.6278952533685462E-9</v>
      </c>
      <c r="N45" s="18">
        <v>5.126252873891982E-7</v>
      </c>
      <c r="O45" s="18">
        <v>5.5667144088926348E-11</v>
      </c>
      <c r="P45" s="18">
        <v>1.1923606404617481E-8</v>
      </c>
      <c r="Q45" s="28">
        <v>0.24140134114454745</v>
      </c>
      <c r="R45" s="61">
        <v>107.83776747425379</v>
      </c>
      <c r="S45" s="58">
        <v>2.8153842880873316E-6</v>
      </c>
      <c r="U45" s="88"/>
      <c r="V45" s="88"/>
      <c r="W45" s="85"/>
      <c r="X45" s="85"/>
    </row>
    <row r="46" spans="3:24" x14ac:dyDescent="0.25">
      <c r="I46" s="49">
        <v>1.94134650379E-2</v>
      </c>
      <c r="J46" s="49">
        <v>2.1757467336499921E-9</v>
      </c>
      <c r="K46" s="49">
        <v>1.8747287706031157E-10</v>
      </c>
      <c r="L46" s="67">
        <v>2.3459931925049697E-9</v>
      </c>
      <c r="N46" s="18">
        <v>4.2159432872671423E-7</v>
      </c>
      <c r="O46" s="18">
        <v>6.0167471205505389E-11</v>
      </c>
      <c r="P46" s="18">
        <v>1.3690876859763724E-8</v>
      </c>
      <c r="Q46" s="28">
        <v>0.22541785261539266</v>
      </c>
      <c r="R46" s="61">
        <v>108.04196556487594</v>
      </c>
      <c r="S46" s="58">
        <v>2.8153842880873316E-6</v>
      </c>
      <c r="U46" s="88"/>
      <c r="V46" s="88"/>
      <c r="W46" s="85"/>
      <c r="X46" s="85"/>
    </row>
    <row r="47" spans="3:24" x14ac:dyDescent="0.25">
      <c r="I47" s="49">
        <v>1.98017343386E-2</v>
      </c>
      <c r="J47" s="49">
        <v>1.3200870295076962E-9</v>
      </c>
      <c r="K47" s="49">
        <v>1.5393548026307512E-10</v>
      </c>
      <c r="L47" s="67">
        <v>1.2606834318143462E-9</v>
      </c>
      <c r="N47" s="18">
        <v>3.302164798533076E-7</v>
      </c>
      <c r="O47" s="18">
        <v>6.4684947646288293E-11</v>
      </c>
      <c r="P47" s="18">
        <v>1.5464881824025883E-8</v>
      </c>
      <c r="Q47" s="28">
        <v>0.21332256743897993</v>
      </c>
      <c r="R47" s="61">
        <v>108.04196556487594</v>
      </c>
      <c r="S47" s="58">
        <v>2.8550427919446697E-6</v>
      </c>
      <c r="U47" s="88"/>
      <c r="V47" s="88"/>
      <c r="W47" s="85"/>
      <c r="X47" s="85"/>
    </row>
    <row r="48" spans="3:24" x14ac:dyDescent="0.25">
      <c r="I48" s="49">
        <v>2.0197769025399999E-2</v>
      </c>
      <c r="J48" s="49">
        <v>5.7721554648016185E-10</v>
      </c>
      <c r="K48" s="49">
        <v>1.1137428773479475E-10</v>
      </c>
      <c r="L48" s="67">
        <v>5.5467646946919022E-10</v>
      </c>
      <c r="N48" s="18">
        <v>2.3864461681136782E-7</v>
      </c>
      <c r="O48" s="18">
        <v>6.9212015628635493E-11</v>
      </c>
      <c r="P48" s="18">
        <v>1.7242653369602422E-8</v>
      </c>
      <c r="Q48" s="28">
        <v>0.20419809062214259</v>
      </c>
      <c r="R48" s="61">
        <v>108.25528813231492</v>
      </c>
      <c r="S48" s="58">
        <v>2.8550427919446697E-6</v>
      </c>
      <c r="U48" s="88"/>
      <c r="V48" s="88"/>
      <c r="W48" s="85"/>
      <c r="X48" s="85"/>
    </row>
    <row r="49" spans="9:24" x14ac:dyDescent="0.25">
      <c r="I49" s="49">
        <v>2.0601724405899999E-2</v>
      </c>
      <c r="J49" s="49">
        <v>3.6888477969706967E-10</v>
      </c>
      <c r="K49" s="49">
        <v>9.6242417701762778E-11</v>
      </c>
      <c r="L49" s="67">
        <v>3.2539782078129979E-10</v>
      </c>
      <c r="N49" s="18">
        <v>1.4697274486592681E-7</v>
      </c>
      <c r="O49" s="18">
        <v>7.3744027783678887E-11</v>
      </c>
      <c r="P49" s="18">
        <v>1.902236648300387E-8</v>
      </c>
      <c r="Q49" s="28">
        <v>0.19744504814959657</v>
      </c>
      <c r="R49" s="61">
        <v>108.25528813231492</v>
      </c>
      <c r="S49" s="58">
        <v>2.8946172709564327E-6</v>
      </c>
      <c r="U49" s="88"/>
      <c r="V49" s="88"/>
      <c r="W49" s="85"/>
      <c r="X49" s="85"/>
    </row>
    <row r="50" spans="9:24" x14ac:dyDescent="0.25">
      <c r="I50" s="49">
        <v>2.1013758893999999E-2</v>
      </c>
      <c r="J50" s="49">
        <v>8.2941974606135681E-10</v>
      </c>
      <c r="K50" s="49">
        <v>1.2742625254457702E-10</v>
      </c>
      <c r="L50" s="67">
        <v>5.6510320655735171E-10</v>
      </c>
      <c r="N50" s="18">
        <v>5.5255640728731349E-8</v>
      </c>
      <c r="O50" s="18">
        <v>7.8278276097300467E-11</v>
      </c>
      <c r="P50" s="18">
        <v>2.0802957731902115E-8</v>
      </c>
      <c r="Q50" s="28">
        <v>0.19266786017905851</v>
      </c>
      <c r="R50" s="61">
        <v>108.48070598493031</v>
      </c>
      <c r="S50" s="58">
        <v>2.8946172709564327E-6</v>
      </c>
      <c r="U50" s="88"/>
      <c r="V50" s="88"/>
      <c r="W50" s="85"/>
      <c r="X50" s="85"/>
    </row>
    <row r="51" spans="9:24" x14ac:dyDescent="0.25">
      <c r="I51" s="49">
        <v>2.1434034071900001E-2</v>
      </c>
      <c r="J51" s="49">
        <v>1.3450977536986514E-9</v>
      </c>
      <c r="K51" s="49">
        <v>1.5374837218642051E-10</v>
      </c>
      <c r="L51" s="67">
        <v>1.1670259518353446E-9</v>
      </c>
      <c r="N51" s="18">
        <v>-3.6477849740961637E-8</v>
      </c>
      <c r="O51" s="18">
        <v>8.2813334507372356E-11</v>
      </c>
      <c r="P51" s="18">
        <v>2.2583867104235689E-8</v>
      </c>
      <c r="Q51" s="28">
        <v>0.1896101273712924</v>
      </c>
      <c r="R51" s="61">
        <v>108.48070598493031</v>
      </c>
      <c r="S51" s="58">
        <v>2.9340415166289262E-6</v>
      </c>
      <c r="U51" s="88"/>
      <c r="V51" s="88"/>
      <c r="W51" s="85"/>
      <c r="X51" s="85"/>
    </row>
    <row r="52" spans="9:24" x14ac:dyDescent="0.25">
      <c r="I52" s="49">
        <v>2.1862714753300001E-2</v>
      </c>
      <c r="J52" s="49">
        <v>2.1341548616151089E-9</v>
      </c>
      <c r="K52" s="49">
        <v>1.9069019669459129E-10</v>
      </c>
      <c r="L52" s="67">
        <v>1.9539848493514158E-9</v>
      </c>
      <c r="N52" s="18">
        <v>-1.2821537564767283E-7</v>
      </c>
      <c r="O52" s="18">
        <v>8.734859241865688E-11</v>
      </c>
      <c r="P52" s="18">
        <v>2.4364854820340663E-8</v>
      </c>
      <c r="Q52" s="28">
        <v>0.18811755892212728</v>
      </c>
      <c r="R52" s="61">
        <v>108.72210732607486</v>
      </c>
      <c r="S52" s="58">
        <v>2.9340415166289262E-6</v>
      </c>
      <c r="U52" s="88"/>
      <c r="V52" s="88"/>
      <c r="W52" s="85"/>
      <c r="X52" s="85"/>
    </row>
    <row r="53" spans="9:24" x14ac:dyDescent="0.25">
      <c r="I53" s="49">
        <v>2.2299969048399999E-2</v>
      </c>
      <c r="J53" s="49">
        <v>2.7832153283003361E-9</v>
      </c>
      <c r="K53" s="49">
        <v>2.1645714759792762E-10</v>
      </c>
      <c r="L53" s="67">
        <v>2.7201075979405598E-9</v>
      </c>
      <c r="N53" s="18">
        <v>-2.3091749999500723E-7</v>
      </c>
      <c r="O53" s="18">
        <v>9.320821170344383E-11</v>
      </c>
      <c r="P53" s="18">
        <v>2.666591689253087E-8</v>
      </c>
      <c r="Q53" s="28">
        <v>0.2975422615154894</v>
      </c>
      <c r="R53" s="61">
        <v>108.72210732607486</v>
      </c>
      <c r="S53" s="58">
        <v>2.9732107313007016E-6</v>
      </c>
      <c r="U53" s="88"/>
      <c r="V53" s="88"/>
      <c r="W53" s="85"/>
      <c r="X53" s="85"/>
    </row>
    <row r="54" spans="9:24" x14ac:dyDescent="0.25">
      <c r="I54" s="49">
        <v>2.27459684294E-2</v>
      </c>
      <c r="J54" s="49">
        <v>3.627764293684419E-9</v>
      </c>
      <c r="K54" s="49">
        <v>1.0503630062658176E-10</v>
      </c>
      <c r="L54" s="67">
        <v>3.2755399480991315E-9</v>
      </c>
      <c r="N54" s="18">
        <v>-4.4287149021643651E-7</v>
      </c>
      <c r="O54" s="18">
        <v>1.0380981096890891E-10</v>
      </c>
      <c r="P54" s="18">
        <v>3.0829146069835383E-8</v>
      </c>
      <c r="Q54" s="28">
        <v>0.59508452303097881</v>
      </c>
      <c r="R54" s="61">
        <v>108.98482655851402</v>
      </c>
      <c r="S54" s="58">
        <v>2.9732107313007016E-6</v>
      </c>
      <c r="U54" s="88"/>
      <c r="V54" s="88"/>
      <c r="W54" s="85"/>
      <c r="X54" s="85"/>
    </row>
    <row r="55" spans="9:24" x14ac:dyDescent="0.25">
      <c r="I55" s="49">
        <v>2.3200887797899999E-2</v>
      </c>
      <c r="J55" s="49">
        <v>3.8795672184410595E-9</v>
      </c>
      <c r="K55" s="49">
        <v>1.1003628275885307E-10</v>
      </c>
      <c r="L55" s="67">
        <v>3.4860750116591323E-9</v>
      </c>
      <c r="N55" s="18">
        <v>-7.0457735590862359E-7</v>
      </c>
      <c r="O55" s="18">
        <v>1.1693805515135749E-10</v>
      </c>
      <c r="P55" s="18">
        <v>3.5984584212568319E-8</v>
      </c>
      <c r="Q55" s="28">
        <v>0.59508452303097881</v>
      </c>
      <c r="R55" s="61">
        <v>108.98482655851402</v>
      </c>
      <c r="S55" s="58">
        <v>3.0119605387288671E-6</v>
      </c>
      <c r="U55" s="88"/>
      <c r="V55" s="88"/>
      <c r="W55" s="85"/>
      <c r="X55" s="85"/>
    </row>
    <row r="56" spans="9:24" x14ac:dyDescent="0.25">
      <c r="I56" s="49">
        <v>2.3664905553899999E-2</v>
      </c>
      <c r="J56" s="49">
        <v>3.6205879885258171E-9</v>
      </c>
      <c r="K56" s="49">
        <v>1.0580691828205546E-10</v>
      </c>
      <c r="L56" s="67">
        <v>3.3016546872688118E-9</v>
      </c>
      <c r="N56" s="18">
        <v>-9.2723678643135918E-7</v>
      </c>
      <c r="O56" s="18">
        <v>1.2816947907003831E-10</v>
      </c>
      <c r="P56" s="18">
        <v>4.0395144411089135E-8</v>
      </c>
      <c r="Q56" s="28">
        <v>0.59508452303097881</v>
      </c>
      <c r="R56" s="61">
        <v>109.27658822799249</v>
      </c>
      <c r="S56" s="58">
        <v>3.0119605387288671E-6</v>
      </c>
      <c r="U56" s="88"/>
      <c r="V56" s="88"/>
      <c r="W56" s="85"/>
      <c r="X56" s="85"/>
    </row>
    <row r="57" spans="9:24" x14ac:dyDescent="0.25">
      <c r="I57" s="49">
        <v>2.4138203665E-2</v>
      </c>
      <c r="J57" s="49">
        <v>2.9120552890160247E-9</v>
      </c>
      <c r="K57" s="49">
        <v>9.28805313414414E-11</v>
      </c>
      <c r="L57" s="67">
        <v>2.7685397864241505E-9</v>
      </c>
      <c r="N57" s="18">
        <v>-1.1017138174863386E-6</v>
      </c>
      <c r="O57" s="18">
        <v>1.3705691568522145E-10</v>
      </c>
      <c r="P57" s="18">
        <v>4.3885224964152918E-8</v>
      </c>
      <c r="Q57" s="28">
        <v>0.59508452303097881</v>
      </c>
      <c r="R57" s="61">
        <v>109.27658822799249</v>
      </c>
      <c r="S57" s="58">
        <v>3.0500317925181145E-6</v>
      </c>
      <c r="U57" s="88"/>
      <c r="V57" s="88"/>
      <c r="W57" s="85"/>
      <c r="X57" s="85"/>
    </row>
    <row r="58" spans="9:24" x14ac:dyDescent="0.25">
      <c r="I58" s="49">
        <v>2.4620967738300002E-2</v>
      </c>
      <c r="J58" s="49">
        <v>2.3321704401373754E-9</v>
      </c>
      <c r="K58" s="49">
        <v>8.9981140005046029E-11</v>
      </c>
      <c r="L58" s="67">
        <v>2.0207215597024668E-9</v>
      </c>
      <c r="N58" s="18">
        <v>-1.2271291191328168E-6</v>
      </c>
      <c r="O58" s="18">
        <v>1.4356170165655379E-10</v>
      </c>
      <c r="P58" s="18">
        <v>4.6439642846763183E-8</v>
      </c>
      <c r="Q58" s="28">
        <v>0.59508452303097881</v>
      </c>
      <c r="R58" s="61">
        <v>109.60934523447406</v>
      </c>
      <c r="S58" s="58">
        <v>3.0500317925181145E-6</v>
      </c>
      <c r="U58" s="88"/>
      <c r="V58" s="88"/>
      <c r="W58" s="85"/>
      <c r="X58" s="85"/>
    </row>
    <row r="59" spans="9:24" x14ac:dyDescent="0.25">
      <c r="I59" s="49">
        <v>2.5113387093100001E-2</v>
      </c>
      <c r="J59" s="49">
        <v>1.3715264939998449E-9</v>
      </c>
      <c r="K59" s="49">
        <v>6.6839845209545302E-11</v>
      </c>
      <c r="L59" s="67">
        <v>1.2489250435823232E-9</v>
      </c>
      <c r="N59" s="18">
        <v>-1.3090719815926368E-6</v>
      </c>
      <c r="O59" s="18">
        <v>1.4796525147980918E-10</v>
      </c>
      <c r="P59" s="18">
        <v>4.8168909030933246E-8</v>
      </c>
      <c r="Q59" s="28">
        <v>0.59508452303097881</v>
      </c>
      <c r="R59" s="61">
        <v>109.60934523447406</v>
      </c>
      <c r="S59" s="58">
        <v>3.0870083432425988E-6</v>
      </c>
      <c r="U59" s="88"/>
      <c r="V59" s="88"/>
      <c r="W59" s="85"/>
      <c r="X59" s="85"/>
    </row>
    <row r="60" spans="9:24" x14ac:dyDescent="0.25">
      <c r="I60" s="49">
        <v>2.5615654834900001E-2</v>
      </c>
      <c r="J60" s="49">
        <v>6.4147029506013068E-10</v>
      </c>
      <c r="K60" s="49">
        <v>4.3902068389138715E-11</v>
      </c>
      <c r="L60" s="67">
        <v>6.513883964057478E-10</v>
      </c>
      <c r="N60" s="18">
        <v>-1.356637709093585E-6</v>
      </c>
      <c r="O60" s="18">
        <v>1.5072255117077677E-10</v>
      </c>
      <c r="P60" s="18">
        <v>4.9251695715900953E-8</v>
      </c>
      <c r="Q60" s="28">
        <v>0.59508452303097881</v>
      </c>
      <c r="R60" s="61">
        <v>110.00329754530401</v>
      </c>
      <c r="S60" s="58">
        <v>3.0870083432425988E-6</v>
      </c>
      <c r="U60" s="88"/>
      <c r="V60" s="88"/>
      <c r="W60" s="85"/>
      <c r="X60" s="85"/>
    </row>
    <row r="61" spans="9:24" x14ac:dyDescent="0.25">
      <c r="I61" s="49">
        <v>2.61279679316E-2</v>
      </c>
      <c r="J61" s="49">
        <v>5.2090634928900361E-10</v>
      </c>
      <c r="K61" s="49">
        <v>4.1644003554747561E-11</v>
      </c>
      <c r="L61" s="67">
        <v>3.7800750514553423E-10</v>
      </c>
      <c r="N61" s="18">
        <v>-1.3795418884270107E-6</v>
      </c>
      <c r="O61" s="18">
        <v>1.5231944002647682E-10</v>
      </c>
      <c r="P61" s="18">
        <v>4.9878791129573074E-8</v>
      </c>
      <c r="Q61" s="28">
        <v>0.59508452303097881</v>
      </c>
      <c r="R61" s="61">
        <v>110.00329754530401</v>
      </c>
      <c r="S61" s="58">
        <v>3.1221993859167456E-6</v>
      </c>
      <c r="U61" s="88"/>
      <c r="V61" s="88"/>
      <c r="W61" s="85"/>
      <c r="X61" s="85"/>
    </row>
    <row r="62" spans="9:24" x14ac:dyDescent="0.25">
      <c r="I62" s="49">
        <v>2.66505272902E-2</v>
      </c>
      <c r="J62" s="49">
        <v>6.5928675017102321E-10</v>
      </c>
      <c r="K62" s="49">
        <v>4.8372958796069624E-11</v>
      </c>
      <c r="L62" s="67">
        <v>4.8461663762497561E-10</v>
      </c>
      <c r="N62" s="18">
        <v>-1.3861443270609289E-6</v>
      </c>
      <c r="O62" s="18">
        <v>1.5317485130970243E-10</v>
      </c>
      <c r="P62" s="18">
        <v>5.0214709619203339E-8</v>
      </c>
      <c r="Q62" s="28">
        <v>0.59508452303097881</v>
      </c>
      <c r="R62" s="61">
        <v>110.4972847251654</v>
      </c>
      <c r="S62" s="58">
        <v>3.1221993859167456E-6</v>
      </c>
      <c r="U62" s="88"/>
      <c r="V62" s="88"/>
      <c r="W62" s="85"/>
      <c r="X62" s="85"/>
    </row>
    <row r="63" spans="9:24" x14ac:dyDescent="0.25">
      <c r="I63" s="49">
        <v>2.7183537835999999E-2</v>
      </c>
      <c r="J63" s="49">
        <v>1.1456289304623397E-9</v>
      </c>
      <c r="K63" s="49">
        <v>6.3129028083458259E-11</v>
      </c>
      <c r="L63" s="67">
        <v>9.1341342373287512E-10</v>
      </c>
      <c r="N63" s="18">
        <v>-1.3825983658908512E-6</v>
      </c>
      <c r="O63" s="18">
        <v>1.5359867583034963E-10</v>
      </c>
      <c r="P63" s="18">
        <v>5.0381144754717592E-8</v>
      </c>
      <c r="Q63" s="28">
        <v>0.59508452303097881</v>
      </c>
      <c r="R63" s="61">
        <v>110.4972847251654</v>
      </c>
      <c r="S63" s="58">
        <v>3.1543967502742541E-6</v>
      </c>
      <c r="U63" s="88"/>
      <c r="V63" s="88"/>
      <c r="W63" s="85"/>
      <c r="X63" s="85"/>
    </row>
    <row r="64" spans="9:24" x14ac:dyDescent="0.25">
      <c r="I64" s="49">
        <v>2.77272085928E-2</v>
      </c>
      <c r="J64" s="49">
        <v>1.7552266028316637E-9</v>
      </c>
      <c r="K64" s="49">
        <v>8.2682540374305093E-11</v>
      </c>
      <c r="L64" s="67">
        <v>1.5080732781200965E-9</v>
      </c>
      <c r="N64" s="18">
        <v>-1.3728758392495424E-6</v>
      </c>
      <c r="O64" s="18">
        <v>1.5379290311002326E-10</v>
      </c>
      <c r="P64" s="18">
        <v>5.045741746202505E-8</v>
      </c>
      <c r="Q64" s="28">
        <v>0.59508452303097881</v>
      </c>
      <c r="R64" s="61">
        <v>111.18431209507979</v>
      </c>
      <c r="S64" s="58">
        <v>3.1543967502742541E-6</v>
      </c>
      <c r="U64" s="88"/>
      <c r="V64" s="88"/>
      <c r="W64" s="85"/>
      <c r="X64" s="85"/>
    </row>
    <row r="65" spans="9:24" x14ac:dyDescent="0.25">
      <c r="I65" s="49">
        <v>2.8281752764600002E-2</v>
      </c>
      <c r="J65" s="49">
        <v>2.3158853162259829E-9</v>
      </c>
      <c r="K65" s="49">
        <v>9.8525008809211414E-11</v>
      </c>
      <c r="L65" s="67">
        <v>2.060861099303304E-9</v>
      </c>
      <c r="N65" s="18">
        <v>-1.3592467540429442E-6</v>
      </c>
      <c r="O65" s="18">
        <v>1.5387523159959697E-10</v>
      </c>
      <c r="P65" s="18">
        <v>5.0489747713464871E-8</v>
      </c>
      <c r="Q65" s="28">
        <v>0.59508452303097881</v>
      </c>
      <c r="R65" s="61">
        <v>111.18431209507979</v>
      </c>
      <c r="S65" s="58">
        <v>3.1813119695625959E-6</v>
      </c>
      <c r="U65" s="88"/>
      <c r="V65" s="88"/>
      <c r="W65" s="85"/>
      <c r="X65" s="85"/>
    </row>
    <row r="66" spans="9:24" x14ac:dyDescent="0.25">
      <c r="I66" s="49">
        <v>2.8847387819900001E-2</v>
      </c>
      <c r="J66" s="49">
        <v>2.6429902850925149E-9</v>
      </c>
      <c r="K66" s="49">
        <v>1.0845248074778136E-10</v>
      </c>
      <c r="L66" s="67">
        <v>2.3784787886051589E-9</v>
      </c>
      <c r="N66" s="18">
        <v>-1.3428568777614998E-6</v>
      </c>
      <c r="O66" s="18">
        <v>1.5390750975131369E-10</v>
      </c>
      <c r="P66" s="18">
        <v>5.0502423286239469E-8</v>
      </c>
      <c r="Q66" s="28">
        <v>0.59508452303097881</v>
      </c>
      <c r="R66" s="61">
        <v>112.44184602519985</v>
      </c>
      <c r="S66" s="58">
        <v>3.1813119695625959E-6</v>
      </c>
      <c r="U66" s="88"/>
      <c r="V66" s="88"/>
      <c r="W66" s="85"/>
      <c r="X66" s="85"/>
    </row>
    <row r="67" spans="9:24" x14ac:dyDescent="0.25">
      <c r="I67" s="49">
        <v>2.94243355763E-2</v>
      </c>
      <c r="J67" s="49">
        <v>2.6508778095588259E-9</v>
      </c>
      <c r="K67" s="49">
        <v>1.1412874408427869E-10</v>
      </c>
      <c r="L67" s="67">
        <v>2.3467066683557448E-9</v>
      </c>
      <c r="N67" s="18">
        <v>-1.3242051096857519E-6</v>
      </c>
      <c r="O67" s="18">
        <v>1.539192152074694E-10</v>
      </c>
      <c r="P67" s="18">
        <v>5.0507019998054428E-8</v>
      </c>
      <c r="Q67" s="28">
        <v>0.59508452303097881</v>
      </c>
      <c r="R67" s="61">
        <v>112.44184602519985</v>
      </c>
      <c r="S67" s="58">
        <v>3.1980881152121158E-6</v>
      </c>
      <c r="U67" s="88"/>
      <c r="V67" s="88"/>
      <c r="W67" s="85"/>
      <c r="X67" s="85"/>
    </row>
    <row r="68" spans="9:24" x14ac:dyDescent="0.25">
      <c r="I68" s="49">
        <v>3.0012822287800001E-2</v>
      </c>
      <c r="J68" s="49">
        <v>2.1705309868503936E-9</v>
      </c>
      <c r="K68" s="49">
        <v>1.0457318472382957E-10</v>
      </c>
      <c r="L68" s="67">
        <v>1.9724332335549362E-9</v>
      </c>
      <c r="N68" s="18">
        <v>-1.303463328501074E-6</v>
      </c>
      <c r="O68" s="18">
        <v>1.5392314157836729E-10</v>
      </c>
      <c r="P68" s="18">
        <v>5.0508561876923239E-8</v>
      </c>
      <c r="Q68" s="28">
        <v>0.59508452303097881</v>
      </c>
      <c r="R68" s="61">
        <v>114.13985375926342</v>
      </c>
      <c r="S68" s="58">
        <v>3.1980881152121158E-6</v>
      </c>
      <c r="U68" s="88"/>
      <c r="V68" s="88"/>
      <c r="W68" s="85"/>
      <c r="X68" s="85"/>
    </row>
    <row r="69" spans="9:24" x14ac:dyDescent="0.25">
      <c r="I69" s="49">
        <v>3.0613078733599999E-2</v>
      </c>
      <c r="J69" s="49">
        <v>1.3967535128569378E-9</v>
      </c>
      <c r="K69" s="49">
        <v>8.6604156379186713E-11</v>
      </c>
      <c r="L69" s="67">
        <v>1.3860968672668374E-9</v>
      </c>
      <c r="N69" s="18">
        <v>-1.2806602374299276E-6</v>
      </c>
      <c r="O69" s="18">
        <v>1.5392435977984602E-10</v>
      </c>
      <c r="P69" s="18">
        <v>5.050904026247745E-8</v>
      </c>
      <c r="Q69" s="28">
        <v>0.59508452303097881</v>
      </c>
      <c r="R69" s="61">
        <v>114.13985375926342</v>
      </c>
      <c r="S69" s="58">
        <v>3.1999999999999999E-6</v>
      </c>
      <c r="U69" s="88"/>
      <c r="V69" s="88"/>
      <c r="W69" s="85"/>
      <c r="X69" s="85"/>
    </row>
    <row r="70" spans="9:24" x14ac:dyDescent="0.25">
      <c r="I70" s="49">
        <v>3.1225340308300001E-2</v>
      </c>
      <c r="J70" s="49">
        <v>8.6518519294922641E-10</v>
      </c>
      <c r="K70" s="49">
        <v>6.9830657329795467E-11</v>
      </c>
      <c r="L70" s="67">
        <v>7.9854262620684186E-10</v>
      </c>
      <c r="N70" s="18">
        <v>-1.2557747602775971E-6</v>
      </c>
      <c r="O70" s="18">
        <v>1.5392470938079696E-10</v>
      </c>
      <c r="P70" s="18">
        <v>5.0509177550149143E-8</v>
      </c>
      <c r="Q70" s="28">
        <v>0.59508452303097881</v>
      </c>
      <c r="R70" s="61">
        <v>115.20000000000006</v>
      </c>
      <c r="S70" s="58">
        <v>3.1999999999999999E-6</v>
      </c>
      <c r="U70" s="88"/>
      <c r="V70" s="88"/>
      <c r="W70" s="85"/>
      <c r="X70" s="85"/>
    </row>
    <row r="71" spans="9:24" x14ac:dyDescent="0.25">
      <c r="I71" s="49">
        <v>3.1849847114399997E-2</v>
      </c>
      <c r="J71" s="49">
        <v>4.5493362838649042E-10</v>
      </c>
      <c r="K71" s="49">
        <v>5.6501966674795871E-11</v>
      </c>
      <c r="L71" s="67">
        <v>4.2280657682630545E-10</v>
      </c>
      <c r="N71" s="18">
        <v>-1.2287790090578549E-6</v>
      </c>
      <c r="O71" s="18">
        <v>1.5392480218164704E-10</v>
      </c>
      <c r="P71" s="18">
        <v>5.0509213992877923E-8</v>
      </c>
      <c r="Q71" s="28">
        <v>0.59508452303097881</v>
      </c>
      <c r="R71" s="61">
        <v>115.20000000000006</v>
      </c>
      <c r="S71" s="58">
        <v>3.1955854398194677E-6</v>
      </c>
      <c r="U71" s="88"/>
      <c r="V71" s="88"/>
      <c r="W71" s="85"/>
      <c r="X71" s="85"/>
    </row>
    <row r="72" spans="9:24" x14ac:dyDescent="0.25">
      <c r="I72" s="49">
        <v>3.24868440567E-2</v>
      </c>
      <c r="J72" s="49">
        <v>5.131656895813237E-10</v>
      </c>
      <c r="K72" s="49">
        <v>6.8885078122917071E-11</v>
      </c>
      <c r="L72" s="67">
        <v>3.8825739429149172E-10</v>
      </c>
      <c r="N72" s="18">
        <v>-1.1996567764611824E-6</v>
      </c>
      <c r="O72" s="18">
        <v>1.5392482496704906E-10</v>
      </c>
      <c r="P72" s="18">
        <v>5.050922294066478E-8</v>
      </c>
      <c r="Q72" s="28">
        <v>0.59508452303097881</v>
      </c>
      <c r="R72" s="61">
        <v>116.89800773406363</v>
      </c>
      <c r="S72" s="58">
        <v>3.1955854398194677E-6</v>
      </c>
      <c r="U72" s="88"/>
      <c r="V72" s="88"/>
      <c r="W72" s="85"/>
      <c r="X72" s="85"/>
    </row>
    <row r="73" spans="9:24" x14ac:dyDescent="0.25">
      <c r="I73" s="49">
        <v>3.31365809379E-2</v>
      </c>
      <c r="J73" s="49">
        <v>8.7481892228094871E-10</v>
      </c>
      <c r="K73" s="49">
        <v>8.8311425543155462E-11</v>
      </c>
      <c r="L73" s="67">
        <v>6.831070219441657E-10</v>
      </c>
      <c r="N73" s="18">
        <v>-1.1684114047288246E-6</v>
      </c>
      <c r="O73" s="18">
        <v>1.5392483014175578E-10</v>
      </c>
      <c r="P73" s="18">
        <v>5.0509224972762909E-8</v>
      </c>
      <c r="Q73" s="28">
        <v>0.59508452303097881</v>
      </c>
      <c r="R73" s="61">
        <v>116.89800773406363</v>
      </c>
      <c r="S73" s="58">
        <v>3.1568491597692759E-6</v>
      </c>
      <c r="U73" s="88"/>
      <c r="V73" s="88"/>
      <c r="W73" s="85"/>
      <c r="X73" s="85"/>
    </row>
    <row r="74" spans="9:24" x14ac:dyDescent="0.25">
      <c r="I74" s="49">
        <v>3.37993125566E-2</v>
      </c>
      <c r="J74" s="49">
        <v>1.2675199127709359E-9</v>
      </c>
      <c r="K74" s="49">
        <v>1.0296137414490536E-10</v>
      </c>
      <c r="L74" s="67">
        <v>1.1541959067599354E-9</v>
      </c>
      <c r="N74" s="18">
        <v>-1.1350693654659413E-6</v>
      </c>
      <c r="O74" s="18">
        <v>1.5392483122877557E-10</v>
      </c>
      <c r="P74" s="18">
        <v>5.050922539963364E-8</v>
      </c>
      <c r="Q74" s="28">
        <v>0.59508452303097881</v>
      </c>
      <c r="R74" s="61">
        <v>118.15554166418369</v>
      </c>
      <c r="S74" s="58">
        <v>3.1568491597692759E-6</v>
      </c>
      <c r="U74" s="88"/>
      <c r="V74" s="88"/>
      <c r="W74" s="85"/>
      <c r="X74" s="85"/>
    </row>
    <row r="75" spans="9:24" x14ac:dyDescent="0.25">
      <c r="I75" s="49">
        <v>3.4475298807699999E-2</v>
      </c>
      <c r="J75" s="49">
        <v>1.8682396951842695E-9</v>
      </c>
      <c r="K75" s="49">
        <v>1.2539952317338116E-10</v>
      </c>
      <c r="L75" s="67">
        <v>1.5702607612990265E-9</v>
      </c>
      <c r="N75" s="18">
        <v>-1.0996820719329616E-6</v>
      </c>
      <c r="O75" s="18">
        <v>1.5392483143998324E-10</v>
      </c>
      <c r="P75" s="18">
        <v>5.0509225482574511E-8</v>
      </c>
      <c r="Q75" s="28">
        <v>0.59508452303097881</v>
      </c>
      <c r="R75" s="61">
        <v>118.15554166418369</v>
      </c>
      <c r="S75" s="58">
        <v>3.0947016621409781E-6</v>
      </c>
      <c r="U75" s="88"/>
      <c r="V75" s="88"/>
      <c r="W75" s="85"/>
      <c r="X75" s="85"/>
    </row>
    <row r="76" spans="9:24" x14ac:dyDescent="0.25">
      <c r="I76" s="49">
        <v>3.5164804783900001E-2</v>
      </c>
      <c r="J76" s="49">
        <v>2.0714294316869243E-9</v>
      </c>
      <c r="K76" s="49">
        <v>1.3651166735414499E-10</v>
      </c>
      <c r="L76" s="67">
        <v>1.7256093939640577E-9</v>
      </c>
      <c r="N76" s="18">
        <v>-1.0623267941697473E-6</v>
      </c>
      <c r="O76" s="18">
        <v>1.5392483147794093E-10</v>
      </c>
      <c r="P76" s="18">
        <v>5.0509225497480431E-8</v>
      </c>
      <c r="Q76" s="28">
        <v>0.59508452303097881</v>
      </c>
      <c r="R76" s="61">
        <v>118.84256903409808</v>
      </c>
      <c r="S76" s="58">
        <v>3.0947016621409781E-6</v>
      </c>
      <c r="U76" s="88"/>
      <c r="V76" s="88"/>
      <c r="W76" s="85"/>
      <c r="X76" s="85"/>
    </row>
    <row r="77" spans="9:24" x14ac:dyDescent="0.25">
      <c r="I77" s="49">
        <v>3.5868100879599997E-2</v>
      </c>
      <c r="J77" s="49">
        <v>1.6151623095873951E-9</v>
      </c>
      <c r="K77" s="49">
        <v>1.2651892993965667E-10</v>
      </c>
      <c r="L77" s="67">
        <v>1.538728182691196E-9</v>
      </c>
      <c r="N77" s="18">
        <v>-1.0231069268526595E-6</v>
      </c>
      <c r="O77" s="18">
        <v>1.5392483148425058E-10</v>
      </c>
      <c r="P77" s="18">
        <v>5.0509225499958221E-8</v>
      </c>
      <c r="Q77" s="28">
        <v>0.59508452303097881</v>
      </c>
      <c r="R77" s="61">
        <v>118.84256903409808</v>
      </c>
      <c r="S77" s="58">
        <v>3.0203576412504464E-6</v>
      </c>
      <c r="U77" s="88"/>
      <c r="V77" s="88"/>
      <c r="W77" s="85"/>
      <c r="X77" s="85"/>
    </row>
    <row r="78" spans="9:24" x14ac:dyDescent="0.25">
      <c r="I78" s="49">
        <v>3.6585462897200001E-2</v>
      </c>
      <c r="J78" s="49">
        <v>1.1036019616475881E-9</v>
      </c>
      <c r="K78" s="49">
        <v>1.073929763468165E-10</v>
      </c>
      <c r="L78" s="67">
        <v>1.0965811989998108E-9</v>
      </c>
      <c r="N78" s="18">
        <v>-9.8215166029466845E-7</v>
      </c>
      <c r="O78" s="18">
        <v>1.5392483148522068E-10</v>
      </c>
      <c r="P78" s="18">
        <v>5.050922550033918E-8</v>
      </c>
      <c r="Q78" s="28">
        <v>0.59508452303097881</v>
      </c>
      <c r="R78" s="61">
        <v>119.33655621395947</v>
      </c>
      <c r="S78" s="58">
        <v>3.0203576412504464E-6</v>
      </c>
      <c r="U78" s="88"/>
      <c r="V78" s="88"/>
      <c r="W78" s="85"/>
      <c r="X78" s="85"/>
    </row>
    <row r="79" spans="9:24" x14ac:dyDescent="0.25">
      <c r="I79" s="49">
        <v>3.7317172155099998E-2</v>
      </c>
      <c r="J79" s="49">
        <v>5.2903075122276786E-10</v>
      </c>
      <c r="K79" s="49">
        <v>8.2789079923064453E-11</v>
      </c>
      <c r="L79" s="67">
        <v>6.1572752259292183E-10</v>
      </c>
      <c r="N79" s="18">
        <v>-9.3961505666959919E-7</v>
      </c>
      <c r="O79" s="18">
        <v>1.5392483148537927E-10</v>
      </c>
      <c r="P79" s="18">
        <v>5.0509225500401457E-8</v>
      </c>
      <c r="Q79" s="28">
        <v>0.59508452303097881</v>
      </c>
      <c r="R79" s="61">
        <v>119.33655621395947</v>
      </c>
      <c r="S79" s="58">
        <v>2.939101188620458E-6</v>
      </c>
      <c r="U79" s="88"/>
      <c r="V79" s="88"/>
      <c r="W79" s="85"/>
      <c r="X79" s="85"/>
    </row>
    <row r="80" spans="9:24" x14ac:dyDescent="0.25">
      <c r="I80" s="49">
        <v>3.8063515598200003E-2</v>
      </c>
      <c r="J80" s="49">
        <v>1.8819046182644667E-10</v>
      </c>
      <c r="K80" s="49">
        <v>6.2709001715583021E-11</v>
      </c>
      <c r="L80" s="67">
        <v>3.3143173091206409E-10</v>
      </c>
      <c r="N80" s="18">
        <v>-8.9567453384759782E-7</v>
      </c>
      <c r="O80" s="18">
        <v>1.5392483148537927E-10</v>
      </c>
      <c r="P80" s="18">
        <v>5.0509225500401457E-8</v>
      </c>
      <c r="Q80" s="28">
        <v>0.59508452303097881</v>
      </c>
      <c r="R80" s="61">
        <v>119.73050852478941</v>
      </c>
      <c r="S80" s="58">
        <v>2.939101188620458E-6</v>
      </c>
      <c r="U80" s="88"/>
      <c r="V80" s="88"/>
      <c r="W80" s="85"/>
      <c r="X80" s="85"/>
    </row>
    <row r="81" spans="2:24" x14ac:dyDescent="0.25">
      <c r="I81" s="49">
        <v>3.8824785910199999E-2</v>
      </c>
      <c r="J81" s="49">
        <v>3.9979572843218731E-10</v>
      </c>
      <c r="K81" s="49">
        <v>7.6500736210721565E-11</v>
      </c>
      <c r="L81" s="67">
        <v>3.6854977519139968E-10</v>
      </c>
      <c r="N81" s="18">
        <v>-8.5052877370605567E-7</v>
      </c>
      <c r="O81" s="18">
        <v>1.5392483148537927E-10</v>
      </c>
      <c r="P81" s="18">
        <v>5.0509225500401457E-8</v>
      </c>
      <c r="Q81" s="28">
        <v>0.59508452303097881</v>
      </c>
      <c r="R81" s="61">
        <v>119.73050852478941</v>
      </c>
      <c r="S81" s="58">
        <v>2.8537219809003147E-6</v>
      </c>
      <c r="U81" s="88"/>
      <c r="V81" s="88"/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3.9601281628400001E-2</v>
      </c>
      <c r="J82" s="49">
        <v>8.8341338905089251E-10</v>
      </c>
      <c r="K82" s="49">
        <v>1.0928107341150563E-10</v>
      </c>
      <c r="L82" s="67">
        <v>6.6744985026087132E-10</v>
      </c>
      <c r="N82" s="18">
        <v>-8.0439508965795757E-7</v>
      </c>
      <c r="O82" s="18">
        <v>1.5392483148537927E-10</v>
      </c>
      <c r="P82" s="18">
        <v>5.0509225500401457E-8</v>
      </c>
      <c r="Q82" s="28">
        <v>0.59508452303097881</v>
      </c>
      <c r="R82" s="61">
        <v>120.06326553127099</v>
      </c>
      <c r="S82" s="58">
        <v>2.8537219809003147E-6</v>
      </c>
      <c r="U82" s="88"/>
      <c r="V82" s="88"/>
      <c r="W82" s="85"/>
      <c r="X82" s="85"/>
    </row>
    <row r="83" spans="2:24" x14ac:dyDescent="0.25">
      <c r="I83" s="49">
        <v>4.0393307261000003E-2</v>
      </c>
      <c r="J83" s="49">
        <v>9.7006008944531713E-10</v>
      </c>
      <c r="K83" s="49">
        <v>1.2557133225067662E-10</v>
      </c>
      <c r="L83" s="67">
        <v>1.0154753516148146E-9</v>
      </c>
      <c r="N83" s="18">
        <v>-7.5750630605280303E-7</v>
      </c>
      <c r="O83" s="18">
        <v>1.5392483148537927E-10</v>
      </c>
      <c r="P83" s="18">
        <v>5.0509225500401457E-8</v>
      </c>
      <c r="Q83" s="28">
        <v>0.59508452303097881</v>
      </c>
      <c r="R83" s="61">
        <v>120.06326553127099</v>
      </c>
      <c r="S83" s="58">
        <v>2.7658150933796752E-6</v>
      </c>
      <c r="U83" s="88"/>
      <c r="V83" s="88"/>
      <c r="W83" s="85"/>
      <c r="X83" s="85"/>
    </row>
    <row r="84" spans="2:24" x14ac:dyDescent="0.25">
      <c r="I84" s="49">
        <v>4.1201173406199998E-2</v>
      </c>
      <c r="J84" s="49">
        <v>9.6026748567898076E-10</v>
      </c>
      <c r="K84" s="49">
        <v>1.2733832759501303E-10</v>
      </c>
      <c r="L84" s="67">
        <v>1.1746466082877755E-9</v>
      </c>
      <c r="N84" s="18">
        <v>-7.101072185125819E-7</v>
      </c>
      <c r="O84" s="18">
        <v>1.5392483148537927E-10</v>
      </c>
      <c r="P84" s="18">
        <v>5.0509225500401457E-8</v>
      </c>
      <c r="Q84" s="28">
        <v>0.59508452303097881</v>
      </c>
      <c r="R84" s="61">
        <v>120.35502720074946</v>
      </c>
      <c r="S84" s="58">
        <v>2.7658150933796752E-6</v>
      </c>
      <c r="U84" s="88"/>
      <c r="V84" s="88"/>
      <c r="W84" s="85"/>
      <c r="X84" s="85"/>
    </row>
    <row r="85" spans="2:24" x14ac:dyDescent="0.25">
      <c r="I85" s="49">
        <v>4.2025196874300001E-2</v>
      </c>
      <c r="J85" s="49">
        <v>1.0269145957233767E-9</v>
      </c>
      <c r="K85" s="49">
        <v>1.3972198195470023E-10</v>
      </c>
      <c r="L85" s="67">
        <v>1.0323062025927539E-9</v>
      </c>
      <c r="N85" s="18">
        <v>-6.7437495652690463E-7</v>
      </c>
      <c r="O85" s="18">
        <v>1.5392483148537927E-10</v>
      </c>
      <c r="P85" s="18">
        <v>5.0509225500401457E-8</v>
      </c>
      <c r="Q85" s="28">
        <v>0.2975422615154894</v>
      </c>
      <c r="R85" s="61">
        <v>120.35502720074946</v>
      </c>
      <c r="S85" s="58">
        <v>2.6763414190454655E-6</v>
      </c>
      <c r="U85" s="88"/>
      <c r="V85" s="88"/>
      <c r="W85" s="85"/>
      <c r="X85" s="85"/>
    </row>
    <row r="86" spans="2:24" x14ac:dyDescent="0.25">
      <c r="I86" s="49">
        <v>4.2865700811800002E-2</v>
      </c>
      <c r="J86" s="49">
        <v>6.8302153981252553E-10</v>
      </c>
      <c r="K86" s="49">
        <v>1.1920047270838016E-10</v>
      </c>
      <c r="L86" s="67">
        <v>6.7641817134599082E-10</v>
      </c>
      <c r="N86" s="18">
        <v>-6.0236909758824582E-7</v>
      </c>
      <c r="O86" s="18">
        <v>1.5392483148537927E-10</v>
      </c>
      <c r="P86" s="18">
        <v>5.0509225500401457E-8</v>
      </c>
      <c r="Q86" s="28">
        <v>1.0911024621297067</v>
      </c>
      <c r="R86" s="61">
        <v>120.61774643318861</v>
      </c>
      <c r="S86" s="58">
        <v>2.6763414190454655E-6</v>
      </c>
      <c r="U86" s="88"/>
      <c r="V86" s="88"/>
      <c r="W86" s="85"/>
      <c r="X86" s="85"/>
    </row>
    <row r="87" spans="2:24" x14ac:dyDescent="0.25">
      <c r="I87" s="49">
        <v>4.3723014827999999E-2</v>
      </c>
      <c r="J87" s="49">
        <v>6.6533647969897019E-10</v>
      </c>
      <c r="K87" s="49">
        <v>1.2088098700152706E-10</v>
      </c>
      <c r="L87" s="67">
        <v>3.3674452008478812E-10</v>
      </c>
      <c r="N87" s="18">
        <v>-4.7026937426330008E-7</v>
      </c>
      <c r="O87" s="18">
        <v>1.5392483148537927E-10</v>
      </c>
      <c r="P87" s="18">
        <v>5.0509225500401457E-8</v>
      </c>
      <c r="Q87" s="28">
        <v>2.1822049242594135</v>
      </c>
      <c r="R87" s="61">
        <v>120.61774643318861</v>
      </c>
      <c r="S87" s="58">
        <v>2.5858993293920895E-6</v>
      </c>
      <c r="U87" s="88"/>
      <c r="V87" s="88"/>
      <c r="W87" s="85"/>
      <c r="X87" s="85"/>
    </row>
    <row r="88" spans="2:24" x14ac:dyDescent="0.25">
      <c r="I88" s="49">
        <v>4.4597475124600001E-2</v>
      </c>
      <c r="J88" s="49">
        <v>1.5551235359683748E-10</v>
      </c>
      <c r="K88" s="49">
        <v>1.9975255285465635E-11</v>
      </c>
      <c r="L88" s="67">
        <v>2.2241034952625768E-10</v>
      </c>
      <c r="N88" s="18">
        <v>-3.0480644582497918E-7</v>
      </c>
      <c r="O88" s="18">
        <v>1.5392483148537927E-10</v>
      </c>
      <c r="P88" s="18">
        <v>5.0509225500401457E-8</v>
      </c>
      <c r="Q88" s="28">
        <v>2.1822049242594135</v>
      </c>
      <c r="R88" s="61">
        <v>120.85914777433317</v>
      </c>
      <c r="S88" s="58">
        <v>2.5858993293920895E-6</v>
      </c>
      <c r="U88" s="88"/>
      <c r="V88" s="88"/>
      <c r="W88" s="85"/>
      <c r="X88" s="85"/>
    </row>
    <row r="89" spans="2:24" x14ac:dyDescent="0.25">
      <c r="I89" s="49">
        <v>4.5489424627099997E-2</v>
      </c>
      <c r="J89" s="49">
        <v>3.6400130290709657E-10</v>
      </c>
      <c r="K89" s="49">
        <v>2.8377211187350695E-11</v>
      </c>
      <c r="L89" s="67">
        <v>3.6845410322704283E-10</v>
      </c>
      <c r="N89" s="18">
        <v>-1.6002885556532224E-7</v>
      </c>
      <c r="O89" s="18">
        <v>1.5392483148537927E-10</v>
      </c>
      <c r="P89" s="18">
        <v>5.0509225500401457E-8</v>
      </c>
      <c r="Q89" s="28">
        <v>2.1822049242594135</v>
      </c>
      <c r="R89" s="61">
        <v>120.85914777433317</v>
      </c>
      <c r="S89" s="58">
        <v>2.4948683707296052E-6</v>
      </c>
      <c r="U89" s="88"/>
      <c r="V89" s="88"/>
      <c r="W89" s="85"/>
      <c r="X89" s="85"/>
    </row>
    <row r="90" spans="2:24" x14ac:dyDescent="0.25">
      <c r="I90" s="49">
        <v>4.6399213119599998E-2</v>
      </c>
      <c r="J90" s="49">
        <v>5.0947226103971975E-10</v>
      </c>
      <c r="K90" s="49">
        <v>3.2777132968044282E-11</v>
      </c>
      <c r="L90" s="67">
        <v>6.1100173023737562E-10</v>
      </c>
      <c r="N90" s="18">
        <v>-4.1260279170999931E-8</v>
      </c>
      <c r="O90" s="18">
        <v>1.5392483148537927E-10</v>
      </c>
      <c r="P90" s="18">
        <v>5.0509225500401457E-8</v>
      </c>
      <c r="Q90" s="28">
        <v>2.1822049242594135</v>
      </c>
      <c r="R90" s="61">
        <v>121.08456562694856</v>
      </c>
      <c r="S90" s="58">
        <v>2.4948683707296052E-6</v>
      </c>
      <c r="U90" s="88"/>
      <c r="V90" s="88"/>
      <c r="W90" s="85"/>
      <c r="X90" s="85"/>
    </row>
    <row r="91" spans="2:24" x14ac:dyDescent="0.25">
      <c r="I91" s="49">
        <v>4.7327197382000002E-2</v>
      </c>
      <c r="J91" s="49">
        <v>6.725563316399722E-10</v>
      </c>
      <c r="K91" s="49">
        <v>3.8643902002801304E-11</v>
      </c>
      <c r="L91" s="67">
        <v>7.201785940135885E-10</v>
      </c>
      <c r="N91" s="18">
        <v>5.0682523280351787E-8</v>
      </c>
      <c r="O91" s="18">
        <v>1.5392483148537927E-10</v>
      </c>
      <c r="P91" s="18">
        <v>5.0509225500401457E-8</v>
      </c>
      <c r="Q91" s="28">
        <v>2.1822049242594135</v>
      </c>
      <c r="R91" s="61">
        <v>121.08456562694856</v>
      </c>
      <c r="S91" s="58">
        <v>2.4034905218561989E-6</v>
      </c>
      <c r="U91" s="88"/>
      <c r="V91" s="88"/>
      <c r="W91" s="85"/>
      <c r="X91" s="85"/>
    </row>
    <row r="92" spans="2:24" x14ac:dyDescent="0.25">
      <c r="I92" s="49">
        <v>4.8273741329600002E-2</v>
      </c>
      <c r="J92" s="49">
        <v>6.081525675546565E-10</v>
      </c>
      <c r="K92" s="49">
        <v>3.7082442499639201E-11</v>
      </c>
      <c r="L92" s="67">
        <v>5.9032005009673484E-10</v>
      </c>
      <c r="N92" s="18">
        <v>1.1868271519218843E-7</v>
      </c>
      <c r="O92" s="18">
        <v>1.5392483148537927E-10</v>
      </c>
      <c r="P92" s="18">
        <v>5.0509225500401457E-8</v>
      </c>
      <c r="Q92" s="28">
        <v>2.1822049242594135</v>
      </c>
      <c r="R92" s="61">
        <v>121.29788819438754</v>
      </c>
      <c r="S92" s="58">
        <v>2.4034905218561989E-6</v>
      </c>
      <c r="U92" s="88"/>
      <c r="V92" s="88"/>
      <c r="W92" s="85"/>
      <c r="X92" s="85"/>
    </row>
    <row r="93" spans="2:24" x14ac:dyDescent="0.25">
      <c r="I93" s="49">
        <v>4.92392161562E-2</v>
      </c>
      <c r="J93" s="49">
        <v>3.300515196428273E-10</v>
      </c>
      <c r="K93" s="49">
        <v>2.8703123846766729E-11</v>
      </c>
      <c r="L93" s="67">
        <v>3.2668068226750635E-10</v>
      </c>
      <c r="N93" s="18">
        <v>1.6783431618846645E-7</v>
      </c>
      <c r="O93" s="18">
        <v>1.5392483148537927E-10</v>
      </c>
      <c r="P93" s="18">
        <v>5.0509225500401457E-8</v>
      </c>
      <c r="Q93" s="28">
        <v>2.1822049242594135</v>
      </c>
      <c r="R93" s="61">
        <v>121.29788819438754</v>
      </c>
      <c r="S93" s="58">
        <v>2.3119186588142591E-6</v>
      </c>
      <c r="U93" s="88"/>
      <c r="V93" s="88"/>
      <c r="W93" s="85"/>
      <c r="X93" s="85"/>
    </row>
    <row r="94" spans="2:24" x14ac:dyDescent="0.25">
      <c r="I94" s="49">
        <v>5.0224000479399997E-2</v>
      </c>
      <c r="J94" s="49">
        <v>1.8537999025381889E-10</v>
      </c>
      <c r="K94" s="49">
        <v>2.3039882157021119E-11</v>
      </c>
      <c r="L94" s="67">
        <v>1.4529609411781361E-10</v>
      </c>
      <c r="N94" s="18">
        <v>2.0388783878477311E-7</v>
      </c>
      <c r="O94" s="18">
        <v>1.5392483148537927E-10</v>
      </c>
      <c r="P94" s="18">
        <v>5.0509225500401457E-8</v>
      </c>
      <c r="Q94" s="28">
        <v>2.1822049242594135</v>
      </c>
      <c r="R94" s="61">
        <v>121.50208628500968</v>
      </c>
      <c r="S94" s="58">
        <v>2.3119186588142591E-6</v>
      </c>
      <c r="U94" s="88"/>
      <c r="V94" s="88"/>
      <c r="W94" s="85"/>
      <c r="X94" s="85"/>
    </row>
    <row r="95" spans="2:24" x14ac:dyDescent="0.25">
      <c r="I95" s="49">
        <v>5.1228480489E-2</v>
      </c>
      <c r="J95" s="49">
        <v>1.9353627447303137E-10</v>
      </c>
      <c r="K95" s="49">
        <v>2.5949689376935442E-11</v>
      </c>
      <c r="L95" s="67">
        <v>1.6996235919174093E-10</v>
      </c>
      <c r="N95" s="18">
        <v>2.3208776910696717E-7</v>
      </c>
      <c r="O95" s="18">
        <v>1.5392483148537927E-10</v>
      </c>
      <c r="P95" s="18">
        <v>5.0509225500401457E-8</v>
      </c>
      <c r="Q95" s="28">
        <v>2.1822049242594135</v>
      </c>
      <c r="R95" s="61">
        <v>121.50208628500968</v>
      </c>
      <c r="S95" s="58">
        <v>2.2202467868688178E-6</v>
      </c>
      <c r="U95" s="88"/>
      <c r="V95" s="88"/>
      <c r="W95" s="85"/>
      <c r="X95" s="85"/>
    </row>
    <row r="96" spans="2:24" x14ac:dyDescent="0.25">
      <c r="I96" s="49">
        <v>5.2253050098700002E-2</v>
      </c>
      <c r="J96" s="49">
        <v>3.0223677042763507E-10</v>
      </c>
      <c r="K96" s="49">
        <v>3.0836944692210237E-11</v>
      </c>
      <c r="L96" s="67">
        <v>3.183047009625229E-10</v>
      </c>
      <c r="N96" s="18">
        <v>2.5657392980421415E-7</v>
      </c>
      <c r="O96" s="18">
        <v>1.5392483148537927E-10</v>
      </c>
      <c r="P96" s="18">
        <v>5.0509225500401457E-8</v>
      </c>
      <c r="Q96" s="28">
        <v>2.1822049242594135</v>
      </c>
      <c r="R96" s="61">
        <v>121.69953133315929</v>
      </c>
      <c r="S96" s="58">
        <v>2.2202467868688178E-6</v>
      </c>
      <c r="U96" s="88"/>
      <c r="V96" s="88"/>
      <c r="W96" s="85"/>
      <c r="X96" s="85"/>
    </row>
    <row r="97" spans="9:24" x14ac:dyDescent="0.25">
      <c r="I97" s="49">
        <v>5.3298111100699999E-2</v>
      </c>
      <c r="J97" s="49">
        <v>4.2797861834729713E-10</v>
      </c>
      <c r="K97" s="49">
        <v>3.5085698250213912E-11</v>
      </c>
      <c r="L97" s="67">
        <v>3.9500540326001841E-10</v>
      </c>
      <c r="N97" s="18">
        <v>2.8027271666972361E-7</v>
      </c>
      <c r="O97" s="18">
        <v>1.5392483148537927E-10</v>
      </c>
      <c r="P97" s="18">
        <v>5.0509225500401457E-8</v>
      </c>
      <c r="Q97" s="28">
        <v>2.1822049242594135</v>
      </c>
      <c r="R97" s="61">
        <v>121.69953133315929</v>
      </c>
      <c r="S97" s="58">
        <v>2.1285296827316225E-6</v>
      </c>
      <c r="U97" s="88"/>
      <c r="V97" s="88"/>
      <c r="W97" s="85"/>
      <c r="X97" s="85"/>
    </row>
    <row r="98" spans="9:24" x14ac:dyDescent="0.25">
      <c r="I98" s="49">
        <v>5.4364073322699998E-2</v>
      </c>
      <c r="J98" s="49">
        <v>4.1105330102798787E-10</v>
      </c>
      <c r="K98" s="49">
        <v>3.5979206558203981E-11</v>
      </c>
      <c r="L98" s="67">
        <v>3.0148293276420078E-10</v>
      </c>
      <c r="N98" s="18">
        <v>3.0508463803506522E-7</v>
      </c>
      <c r="O98" s="18">
        <v>1.5392483148537927E-10</v>
      </c>
      <c r="P98" s="18">
        <v>5.0509225500401457E-8</v>
      </c>
      <c r="Q98" s="28">
        <v>2.1822049242594135</v>
      </c>
      <c r="R98" s="61">
        <v>121.89219919333834</v>
      </c>
      <c r="S98" s="58">
        <v>2.1285296827316225E-6</v>
      </c>
      <c r="U98" s="88"/>
      <c r="V98" s="88"/>
      <c r="W98" s="85"/>
      <c r="X98" s="85"/>
    </row>
    <row r="99" spans="9:24" x14ac:dyDescent="0.25">
      <c r="I99" s="49">
        <v>5.5451354789199998E-2</v>
      </c>
      <c r="J99" s="49">
        <v>2.155458597164479E-10</v>
      </c>
      <c r="K99" s="49">
        <v>3.0685319625045083E-11</v>
      </c>
      <c r="L99" s="67">
        <v>1.371324243681526E-10</v>
      </c>
      <c r="N99" s="18">
        <v>3.321761616946082E-7</v>
      </c>
      <c r="O99" s="18">
        <v>1.5392483148537927E-10</v>
      </c>
      <c r="P99" s="18">
        <v>5.0509225500401457E-8</v>
      </c>
      <c r="Q99" s="28">
        <v>2.1822049242594135</v>
      </c>
      <c r="R99" s="61">
        <v>121.89219919333834</v>
      </c>
      <c r="S99" s="58">
        <v>2.0367961922619296E-6</v>
      </c>
      <c r="U99" s="88"/>
      <c r="V99" s="88"/>
      <c r="W99" s="85"/>
      <c r="X99" s="85"/>
    </row>
    <row r="100" spans="9:24" x14ac:dyDescent="0.25">
      <c r="I100" s="49">
        <v>5.6560381884999997E-2</v>
      </c>
      <c r="J100" s="49">
        <v>1.609364420983756E-10</v>
      </c>
      <c r="K100" s="49">
        <v>2.9467406692032682E-11</v>
      </c>
      <c r="L100" s="67">
        <v>7.4648106185530499E-11</v>
      </c>
      <c r="N100" s="18">
        <v>3.6224999344790041E-7</v>
      </c>
      <c r="O100" s="18">
        <v>1.5392483148537927E-10</v>
      </c>
      <c r="P100" s="18">
        <v>5.0509225500401457E-8</v>
      </c>
      <c r="Q100" s="28">
        <v>2.1822049242594135</v>
      </c>
      <c r="R100" s="61">
        <v>122.08180932070964</v>
      </c>
      <c r="S100" s="58">
        <v>2.0367961922619296E-6</v>
      </c>
      <c r="U100" s="88"/>
      <c r="V100" s="88"/>
      <c r="W100" s="85"/>
      <c r="X100" s="85"/>
    </row>
    <row r="101" spans="9:24" x14ac:dyDescent="0.25">
      <c r="I101" s="49">
        <v>5.7691589522700003E-2</v>
      </c>
      <c r="J101" s="49">
        <v>1.8287741744163103E-10</v>
      </c>
      <c r="K101" s="49">
        <v>3.3925105618263635E-11</v>
      </c>
      <c r="L101" s="67">
        <v>1.5141460569329477E-10</v>
      </c>
      <c r="N101" s="18">
        <v>3.957413622840816E-7</v>
      </c>
      <c r="O101" s="18">
        <v>1.5392483148537927E-10</v>
      </c>
      <c r="P101" s="18">
        <v>5.0509225500401457E-8</v>
      </c>
      <c r="Q101" s="28">
        <v>2.1822049242594135</v>
      </c>
      <c r="R101" s="61">
        <v>122.08180932070964</v>
      </c>
      <c r="S101" s="58">
        <v>1.9450586663552181E-6</v>
      </c>
      <c r="U101" s="88"/>
      <c r="V101" s="88"/>
      <c r="W101" s="85"/>
      <c r="X101" s="85"/>
    </row>
    <row r="102" spans="9:24" x14ac:dyDescent="0.25">
      <c r="I102" s="49">
        <v>5.8845421313099999E-2</v>
      </c>
      <c r="J102" s="49">
        <v>2.4399216912303868E-10</v>
      </c>
      <c r="K102" s="49">
        <v>3.62974681414946E-11</v>
      </c>
      <c r="L102" s="67">
        <v>2.3204704913153385E-10</v>
      </c>
      <c r="N102" s="18">
        <v>4.3293776908102348E-7</v>
      </c>
      <c r="O102" s="18">
        <v>1.5392483148537927E-10</v>
      </c>
      <c r="P102" s="18">
        <v>5.0509225500401457E-8</v>
      </c>
      <c r="Q102" s="28">
        <v>2.1822049242594135</v>
      </c>
      <c r="R102" s="61">
        <v>122.26992687963177</v>
      </c>
      <c r="S102" s="58">
        <v>1.9450586663552181E-6</v>
      </c>
      <c r="U102" s="88"/>
      <c r="V102" s="88"/>
      <c r="W102" s="85"/>
      <c r="X102" s="85"/>
    </row>
    <row r="103" spans="9:24" x14ac:dyDescent="0.25">
      <c r="I103" s="49">
        <v>6.0022329739399999E-2</v>
      </c>
      <c r="J103" s="49">
        <v>3.1658909117883925E-10</v>
      </c>
      <c r="K103" s="49">
        <v>4.1479120138445023E-11</v>
      </c>
      <c r="L103" s="67">
        <v>1.9433990685802812E-10</v>
      </c>
      <c r="N103" s="18">
        <v>4.7404144712213107E-7</v>
      </c>
      <c r="O103" s="18">
        <v>1.5392483148537927E-10</v>
      </c>
      <c r="P103" s="18">
        <v>5.0509225500401457E-8</v>
      </c>
      <c r="Q103" s="28">
        <v>2.1822049242594135</v>
      </c>
      <c r="R103" s="61">
        <v>122.26992687963177</v>
      </c>
      <c r="S103" s="58">
        <v>1.8423565420078838E-6</v>
      </c>
      <c r="U103" s="88"/>
      <c r="V103" s="88"/>
      <c r="W103" s="85"/>
      <c r="X103" s="85"/>
    </row>
    <row r="104" spans="9:24" x14ac:dyDescent="0.25">
      <c r="I104" s="49">
        <v>6.1222776334200001E-2</v>
      </c>
      <c r="J104" s="49">
        <v>2.9878962610469412E-10</v>
      </c>
      <c r="K104" s="49">
        <v>4.1562167487545895E-11</v>
      </c>
      <c r="L104" s="67">
        <v>9.5319926401101103E-11</v>
      </c>
      <c r="N104" s="18">
        <v>5.1919657873388959E-7</v>
      </c>
      <c r="O104" s="18">
        <v>1.5392483148537927E-10</v>
      </c>
      <c r="P104" s="18">
        <v>5.0509225500401457E-8</v>
      </c>
      <c r="Q104" s="28">
        <v>2.1822049242594135</v>
      </c>
      <c r="R104" s="61">
        <v>122.56746914114726</v>
      </c>
      <c r="S104" s="58">
        <v>1.8423565420078838E-6</v>
      </c>
      <c r="U104" s="88"/>
      <c r="V104" s="88"/>
      <c r="W104" s="85"/>
      <c r="X104" s="85"/>
    </row>
    <row r="105" spans="9:24" x14ac:dyDescent="0.25">
      <c r="I105" s="49">
        <v>6.24472318608E-2</v>
      </c>
      <c r="J105" s="49">
        <v>1.2554318080987722E-10</v>
      </c>
      <c r="K105" s="49">
        <v>3.552307862919882E-11</v>
      </c>
      <c r="L105" s="67">
        <v>8.4242207268842707E-11</v>
      </c>
      <c r="N105" s="18">
        <v>5.6849794528332003E-7</v>
      </c>
      <c r="O105" s="18">
        <v>1.5392483148537927E-10</v>
      </c>
      <c r="P105" s="18">
        <v>5.0509225500401457E-8</v>
      </c>
      <c r="Q105" s="28">
        <v>2.1822049242594135</v>
      </c>
      <c r="R105" s="61">
        <v>122.56746914114726</v>
      </c>
      <c r="S105" s="58">
        <v>1.6304025517864546E-6</v>
      </c>
      <c r="U105" s="88"/>
      <c r="V105" s="88"/>
      <c r="W105" s="85"/>
      <c r="X105" s="85"/>
    </row>
    <row r="106" spans="9:24" x14ac:dyDescent="0.25">
      <c r="I106" s="49">
        <v>6.3696176498099999E-2</v>
      </c>
      <c r="J106" s="49">
        <v>1.959972632449835E-10</v>
      </c>
      <c r="K106" s="49">
        <v>4.6505108731149593E-11</v>
      </c>
      <c r="L106" s="67">
        <v>1.7890609001830435E-10</v>
      </c>
      <c r="N106" s="18">
        <v>6.2199117898581782E-7</v>
      </c>
      <c r="O106" s="18">
        <v>1.5392483148537927E-10</v>
      </c>
      <c r="P106" s="18">
        <v>5.0509225500401457E-8</v>
      </c>
      <c r="Q106" s="28">
        <v>2.1822049242594135</v>
      </c>
      <c r="R106" s="61">
        <v>123.16255366417823</v>
      </c>
      <c r="S106" s="58">
        <v>1.6304025517864546E-6</v>
      </c>
      <c r="U106" s="88"/>
      <c r="V106" s="88"/>
      <c r="W106" s="85"/>
      <c r="X106" s="85"/>
    </row>
    <row r="107" spans="9:24" x14ac:dyDescent="0.25">
      <c r="I107" s="49">
        <v>6.4970100027999994E-2</v>
      </c>
      <c r="J107" s="49">
        <v>3.6064733059177461E-10</v>
      </c>
      <c r="K107" s="49">
        <v>5.6555382703530636E-11</v>
      </c>
      <c r="L107" s="67">
        <v>2.3846098172729229E-10</v>
      </c>
      <c r="N107" s="18">
        <v>6.7966996458018064E-7</v>
      </c>
      <c r="O107" s="18">
        <v>1.5392483148537927E-10</v>
      </c>
      <c r="P107" s="18">
        <v>5.0509225500401457E-8</v>
      </c>
      <c r="Q107" s="28">
        <v>2.1822049242594135</v>
      </c>
      <c r="R107" s="61">
        <v>123.16255366417823</v>
      </c>
      <c r="S107" s="58">
        <v>1.3686966860942675E-6</v>
      </c>
      <c r="U107" s="88"/>
      <c r="V107" s="88"/>
      <c r="W107" s="85"/>
      <c r="X107" s="85"/>
    </row>
    <row r="108" spans="9:24" x14ac:dyDescent="0.25">
      <c r="I108" s="49">
        <v>6.6269502028600005E-2</v>
      </c>
      <c r="J108" s="49">
        <v>3.5629472358143304E-10</v>
      </c>
      <c r="K108" s="49">
        <v>5.6632981504116879E-11</v>
      </c>
      <c r="L108" s="67">
        <v>1.8834027856223297E-10</v>
      </c>
      <c r="N108" s="18">
        <v>7.4147272462825499E-7</v>
      </c>
      <c r="O108" s="18">
        <v>1.5392483148537927E-10</v>
      </c>
      <c r="P108" s="18">
        <v>5.0509225500401457E-8</v>
      </c>
      <c r="Q108" s="28">
        <v>2.1822049242594135</v>
      </c>
      <c r="R108" s="61">
        <v>123.75763818720921</v>
      </c>
      <c r="S108" s="58">
        <v>1.3686966860942675E-6</v>
      </c>
      <c r="U108" s="88"/>
      <c r="V108" s="88"/>
      <c r="W108" s="85"/>
      <c r="X108" s="85"/>
    </row>
    <row r="109" spans="9:24" x14ac:dyDescent="0.25">
      <c r="I109" s="49">
        <v>6.7594892069199997E-2</v>
      </c>
      <c r="J109" s="49">
        <v>2.023562092847482E-10</v>
      </c>
      <c r="K109" s="49">
        <v>5.1589733916354683E-11</v>
      </c>
      <c r="L109" s="67">
        <v>1.4717021176909177E-10</v>
      </c>
      <c r="N109" s="18">
        <v>8.0727992355288858E-7</v>
      </c>
      <c r="O109" s="18">
        <v>1.5392483148537927E-10</v>
      </c>
      <c r="P109" s="18">
        <v>5.0509225500401457E-8</v>
      </c>
      <c r="Q109" s="28">
        <v>2.1822049242594135</v>
      </c>
      <c r="R109" s="61">
        <v>123.75763818720921</v>
      </c>
      <c r="S109" s="58">
        <v>1.1460372555715319E-6</v>
      </c>
      <c r="U109" s="88"/>
      <c r="V109" s="88"/>
      <c r="W109" s="85"/>
      <c r="X109" s="85"/>
    </row>
    <row r="110" spans="9:24" x14ac:dyDescent="0.25">
      <c r="I110" s="49">
        <v>6.8946789910500003E-2</v>
      </c>
      <c r="J110" s="49">
        <v>3.8469724933104051E-10</v>
      </c>
      <c r="K110" s="49">
        <v>6.1371149850558754E-11</v>
      </c>
      <c r="L110" s="67">
        <v>2.3147875313623821E-10</v>
      </c>
      <c r="N110" s="18">
        <v>8.7691250486329001E-7</v>
      </c>
      <c r="O110" s="18">
        <v>1.5392483148537927E-10</v>
      </c>
      <c r="P110" s="18">
        <v>5.0509225500401457E-8</v>
      </c>
      <c r="Q110" s="28">
        <v>2.1822049242594135</v>
      </c>
      <c r="R110" s="61">
        <v>124.35272271024019</v>
      </c>
      <c r="S110" s="58">
        <v>1.1460372555715319E-6</v>
      </c>
      <c r="U110" s="88"/>
      <c r="V110" s="88"/>
      <c r="W110" s="85"/>
      <c r="X110" s="85"/>
    </row>
    <row r="111" spans="9:24" x14ac:dyDescent="0.25">
      <c r="I111" s="49">
        <v>7.0325725708699993E-2</v>
      </c>
      <c r="J111" s="50">
        <v>3.3953222250785376E-10</v>
      </c>
      <c r="K111" s="50">
        <v>6.5558140513936611E-11</v>
      </c>
      <c r="L111" s="67">
        <v>3.4951502255631193E-10</v>
      </c>
      <c r="N111" s="18">
        <v>9.5013171274833292E-7</v>
      </c>
      <c r="O111" s="18">
        <v>1.5392483148537927E-10</v>
      </c>
      <c r="P111" s="18">
        <v>5.0509225500401457E-8</v>
      </c>
      <c r="Q111" s="28">
        <v>2.1822049242594135</v>
      </c>
      <c r="R111" s="61">
        <v>124.35272271024019</v>
      </c>
      <c r="S111" s="58">
        <v>9.7156022451655253E-7</v>
      </c>
      <c r="U111" s="88"/>
      <c r="V111" s="88"/>
      <c r="W111" s="85"/>
      <c r="X111" s="85"/>
    </row>
    <row r="112" spans="9:24" x14ac:dyDescent="0.25">
      <c r="I112" s="49">
        <v>7.1732240222900007E-2</v>
      </c>
      <c r="J112" s="50">
        <v>4.7141282561870742E-10</v>
      </c>
      <c r="K112" s="50">
        <v>6.8578144674473971E-11</v>
      </c>
      <c r="L112" s="67">
        <v>3.5501158492237078E-10</v>
      </c>
      <c r="N112" s="18">
        <v>1.0266404262904509E-6</v>
      </c>
      <c r="O112" s="18">
        <v>1.5392483148537927E-10</v>
      </c>
      <c r="P112" s="18">
        <v>5.0509225500401457E-8</v>
      </c>
      <c r="Q112" s="28">
        <v>2.1822049242594135</v>
      </c>
      <c r="R112" s="61">
        <v>124.94780723327116</v>
      </c>
      <c r="S112" s="58">
        <v>9.7156022451655253E-7</v>
      </c>
      <c r="U112" s="88"/>
      <c r="V112" s="88"/>
      <c r="W112" s="85"/>
      <c r="X112" s="85"/>
    </row>
    <row r="113" spans="9:24" x14ac:dyDescent="0.25">
      <c r="I113" s="49">
        <v>7.31668850274E-2</v>
      </c>
      <c r="J113" s="50">
        <v>3.3340034074006394E-10</v>
      </c>
      <c r="K113" s="50">
        <v>6.6888075681825884E-11</v>
      </c>
      <c r="L113" s="67">
        <v>3.142073169241732E-10</v>
      </c>
      <c r="N113" s="18">
        <v>1.1060860584067991E-6</v>
      </c>
      <c r="O113" s="18">
        <v>1.5392483148537927E-10</v>
      </c>
      <c r="P113" s="18">
        <v>5.0509225500401457E-8</v>
      </c>
      <c r="Q113" s="28">
        <v>2.1822049242594135</v>
      </c>
      <c r="R113" s="61">
        <v>124.94780723327116</v>
      </c>
      <c r="S113" s="58">
        <v>8.461449228700743E-7</v>
      </c>
      <c r="U113" s="88"/>
      <c r="V113" s="88"/>
      <c r="W113" s="85"/>
      <c r="X113" s="85"/>
    </row>
    <row r="114" spans="9:24" x14ac:dyDescent="0.25">
      <c r="I114" s="49">
        <v>7.46302227279E-2</v>
      </c>
      <c r="J114" s="50">
        <v>3.5142204229506643E-10</v>
      </c>
      <c r="K114" s="50">
        <v>7.2931068517861692E-11</v>
      </c>
      <c r="L114" s="67">
        <v>3.9140256414293218E-10</v>
      </c>
      <c r="N114" s="18">
        <v>1.1880650083046181E-6</v>
      </c>
      <c r="O114" s="18">
        <v>1.5392483148537927E-10</v>
      </c>
      <c r="P114" s="18">
        <v>5.0509225500401457E-8</v>
      </c>
      <c r="Q114" s="28">
        <v>2.1822049242594135</v>
      </c>
      <c r="R114" s="61">
        <v>125.54289175630214</v>
      </c>
      <c r="S114" s="58">
        <v>8.461449228700743E-7</v>
      </c>
      <c r="U114" s="88"/>
      <c r="V114" s="88"/>
      <c r="W114" s="85"/>
      <c r="X114" s="85"/>
    </row>
    <row r="115" spans="9:24" x14ac:dyDescent="0.25">
      <c r="I115" s="49">
        <v>7.6122827182500005E-2</v>
      </c>
      <c r="J115" s="50">
        <v>3.6198793219138708E-10</v>
      </c>
      <c r="K115" s="50">
        <v>7.5676406452493409E-11</v>
      </c>
      <c r="L115" s="67">
        <v>5.3624413091468194E-10</v>
      </c>
      <c r="N115" s="18">
        <v>1.2721285962405011E-6</v>
      </c>
      <c r="O115" s="18">
        <v>1.5392483148537927E-10</v>
      </c>
      <c r="P115" s="18">
        <v>5.0509225500401457E-8</v>
      </c>
      <c r="Q115" s="28">
        <v>2.1822049242594135</v>
      </c>
      <c r="R115" s="61">
        <v>125.54289175630214</v>
      </c>
      <c r="S115" s="58">
        <v>7.6420206041025436E-7</v>
      </c>
      <c r="U115" s="88"/>
      <c r="V115" s="88"/>
      <c r="W115" s="85"/>
      <c r="X115" s="85"/>
    </row>
    <row r="116" spans="9:24" x14ac:dyDescent="0.25">
      <c r="I116" s="49">
        <v>7.7645283726099995E-2</v>
      </c>
      <c r="J116" s="50">
        <v>5.9786461176789911E-10</v>
      </c>
      <c r="K116" s="50">
        <v>9.0888478863934841E-11</v>
      </c>
      <c r="L116" s="67">
        <v>5.7422083247785901E-10</v>
      </c>
      <c r="N116" s="18">
        <v>1.3577903519170948E-6</v>
      </c>
      <c r="O116" s="18">
        <v>1.5392483148537927E-10</v>
      </c>
      <c r="P116" s="18">
        <v>5.0509225500401457E-8</v>
      </c>
      <c r="Q116" s="28">
        <v>2.1822049242594135</v>
      </c>
      <c r="R116" s="61">
        <v>126.13797627933312</v>
      </c>
      <c r="S116" s="58">
        <v>7.6420206041025436E-7</v>
      </c>
      <c r="U116" s="88"/>
      <c r="V116" s="88"/>
      <c r="W116" s="85"/>
      <c r="X116" s="85"/>
    </row>
    <row r="117" spans="9:24" x14ac:dyDescent="0.25">
      <c r="I117" s="49">
        <v>7.9198189400700003E-2</v>
      </c>
      <c r="J117" s="50">
        <v>7.9963678454022106E-10</v>
      </c>
      <c r="K117" s="50">
        <v>1.0494124427945685E-10</v>
      </c>
      <c r="L117" s="67">
        <v>5.5195504266074282E-10</v>
      </c>
      <c r="N117" s="18">
        <v>1.4445344749685297E-6</v>
      </c>
      <c r="O117" s="18">
        <v>1.5392483148537927E-10</v>
      </c>
      <c r="P117" s="18">
        <v>5.0509225500401457E-8</v>
      </c>
      <c r="Q117" s="28">
        <v>2.1822049242594135</v>
      </c>
      <c r="R117" s="61">
        <v>126.13797627933312</v>
      </c>
      <c r="S117" s="58">
        <v>7.1663633290930609E-7</v>
      </c>
      <c r="U117" s="88"/>
      <c r="V117" s="88"/>
      <c r="W117" s="85"/>
      <c r="X117" s="85"/>
    </row>
    <row r="118" spans="9:24" x14ac:dyDescent="0.25">
      <c r="I118" s="49">
        <v>8.0782153188699996E-2</v>
      </c>
      <c r="J118" s="50">
        <v>5.0492206635365093E-10</v>
      </c>
      <c r="K118" s="50">
        <v>9.5458177808656691E-11</v>
      </c>
      <c r="L118" s="67">
        <v>6.432954484103567E-10</v>
      </c>
      <c r="N118" s="18">
        <v>1.5099810662439521E-6</v>
      </c>
      <c r="O118" s="18">
        <v>1.5392483148537927E-10</v>
      </c>
      <c r="P118" s="18">
        <v>5.0509225500401457E-8</v>
      </c>
      <c r="Q118" s="28">
        <v>1.0911024621297067</v>
      </c>
      <c r="R118" s="61">
        <v>126.73306080236409</v>
      </c>
      <c r="S118" s="58">
        <v>7.1663633290930609E-7</v>
      </c>
      <c r="U118" s="88"/>
      <c r="V118" s="88"/>
      <c r="W118" s="85"/>
      <c r="X118" s="85"/>
    </row>
    <row r="119" spans="9:24" x14ac:dyDescent="0.25">
      <c r="I119" s="49">
        <v>8.2397796252399999E-2</v>
      </c>
      <c r="J119" s="50">
        <v>7.3096456888861865E-10</v>
      </c>
      <c r="K119" s="50">
        <v>1.1730998076315931E-10</v>
      </c>
      <c r="L119" s="67">
        <v>7.8529655095452993E-10</v>
      </c>
      <c r="N119" s="18">
        <v>1.58055135809015E-6</v>
      </c>
      <c r="O119" s="18">
        <v>1.5392483148537927E-10</v>
      </c>
      <c r="P119" s="18">
        <v>5.0509225500401457E-8</v>
      </c>
      <c r="Q119" s="28">
        <v>2.4392563609593036</v>
      </c>
      <c r="R119" s="61">
        <v>126.73306080236409</v>
      </c>
      <c r="S119" s="58">
        <v>6.9373215357588042E-7</v>
      </c>
      <c r="U119" s="88"/>
      <c r="V119" s="88"/>
      <c r="W119" s="85"/>
      <c r="X119" s="85"/>
    </row>
    <row r="120" spans="9:24" x14ac:dyDescent="0.25">
      <c r="I120" s="49">
        <v>8.4045752177500002E-2</v>
      </c>
      <c r="J120" s="50">
        <v>7.4848603184492251E-10</v>
      </c>
      <c r="K120" s="50">
        <v>1.2289173916579083E-10</v>
      </c>
      <c r="L120" s="67">
        <v>8.1532029901582002E-10</v>
      </c>
      <c r="N120" s="18">
        <v>1.6780027702456874E-6</v>
      </c>
      <c r="O120" s="18">
        <v>1.5392483148537927E-10</v>
      </c>
      <c r="P120" s="18">
        <v>5.0509225500401457E-8</v>
      </c>
      <c r="Q120" s="28">
        <v>2.4586099880457595</v>
      </c>
      <c r="R120" s="61">
        <v>127.32814532539507</v>
      </c>
      <c r="S120" s="58">
        <v>6.9373215357588042E-7</v>
      </c>
      <c r="U120" s="88"/>
      <c r="V120" s="88"/>
      <c r="W120" s="85"/>
      <c r="X120" s="85"/>
    </row>
    <row r="121" spans="9:24" x14ac:dyDescent="0.25">
      <c r="I121" s="49">
        <v>8.5726667221000002E-2</v>
      </c>
      <c r="J121" s="50">
        <v>9.7310159974837742E-10</v>
      </c>
      <c r="K121" s="50">
        <v>1.3888870796996034E-10</v>
      </c>
      <c r="L121" s="67">
        <v>8.2516821888350685E-10</v>
      </c>
      <c r="N121" s="18">
        <v>1.7754498956163762E-6</v>
      </c>
      <c r="O121" s="18">
        <v>1.5392483148537927E-10</v>
      </c>
      <c r="P121" s="18">
        <v>5.0509225500401457E-8</v>
      </c>
      <c r="Q121" s="28">
        <v>2.4982585686683954</v>
      </c>
      <c r="R121" s="61">
        <v>127.32814532539507</v>
      </c>
      <c r="S121" s="58">
        <v>6.8712971494196221E-7</v>
      </c>
      <c r="U121" s="88"/>
      <c r="V121" s="88"/>
      <c r="W121" s="85"/>
      <c r="X121" s="85"/>
    </row>
    <row r="122" spans="9:24" x14ac:dyDescent="0.25">
      <c r="I122" s="49">
        <v>8.7441200565500005E-2</v>
      </c>
      <c r="J122" s="50">
        <v>7.8403552494279739E-10</v>
      </c>
      <c r="K122" s="50">
        <v>1.368852934963726E-10</v>
      </c>
      <c r="L122" s="67">
        <v>9.4363900668805319E-10</v>
      </c>
      <c r="N122" s="18">
        <v>1.8728796140292672E-6</v>
      </c>
      <c r="O122" s="18">
        <v>1.5392483148537927E-10</v>
      </c>
      <c r="P122" s="18">
        <v>5.0509225500401457E-8</v>
      </c>
      <c r="Q122" s="28">
        <v>2.5602027391722082</v>
      </c>
      <c r="R122" s="61">
        <v>127.92322984842605</v>
      </c>
      <c r="S122" s="58">
        <v>6.8712971494196221E-7</v>
      </c>
      <c r="U122" s="88"/>
      <c r="V122" s="88"/>
      <c r="W122" s="85"/>
      <c r="X122" s="85"/>
    </row>
    <row r="123" spans="9:24" x14ac:dyDescent="0.25">
      <c r="I123" s="49">
        <v>8.9190024576800003E-2</v>
      </c>
      <c r="J123" s="50">
        <v>8.1446197966261012E-10</v>
      </c>
      <c r="K123" s="50">
        <v>7.1119046318668682E-11</v>
      </c>
      <c r="L123" s="67">
        <v>1.0431262682284285E-9</v>
      </c>
      <c r="N123" s="18">
        <v>1.9702612829562167E-6</v>
      </c>
      <c r="O123" s="18">
        <v>1.5392483148537927E-10</v>
      </c>
      <c r="P123" s="18">
        <v>5.0509225500401457E-8</v>
      </c>
      <c r="Q123" s="28">
        <v>2.6477671425238647</v>
      </c>
      <c r="R123" s="61">
        <v>127.92322984842605</v>
      </c>
      <c r="S123" s="58">
        <v>6.9067567611203988E-7</v>
      </c>
      <c r="U123" s="88"/>
      <c r="V123" s="88"/>
      <c r="W123" s="85"/>
      <c r="X123" s="85"/>
    </row>
    <row r="124" spans="9:24" x14ac:dyDescent="0.25">
      <c r="I124" s="49">
        <v>9.0973825068299999E-2</v>
      </c>
      <c r="J124" s="50">
        <v>1.0045430820691166E-9</v>
      </c>
      <c r="K124" s="50">
        <v>7.9974024456286803E-11</v>
      </c>
      <c r="L124" s="67">
        <v>1.053439681762541E-9</v>
      </c>
      <c r="N124" s="18">
        <v>2.0675367139093599E-6</v>
      </c>
      <c r="O124" s="18">
        <v>1.5392483148537927E-10</v>
      </c>
      <c r="P124" s="18">
        <v>5.0509225500401457E-8</v>
      </c>
      <c r="Q124" s="28">
        <v>2.7660811279031328</v>
      </c>
      <c r="R124" s="61">
        <v>128.51831437145702</v>
      </c>
      <c r="S124" s="58">
        <v>6.9067567611203988E-7</v>
      </c>
      <c r="U124" s="88"/>
      <c r="V124" s="88"/>
      <c r="W124" s="85"/>
      <c r="X124" s="85"/>
    </row>
    <row r="125" spans="9:24" x14ac:dyDescent="0.25">
      <c r="I125" s="49">
        <v>9.2793301569700004E-2</v>
      </c>
      <c r="J125" s="50">
        <v>1.0067112392191641E-9</v>
      </c>
      <c r="K125" s="50">
        <v>8.2624156809182018E-11</v>
      </c>
      <c r="L125" s="67">
        <v>1.1180072993472611E-9</v>
      </c>
      <c r="N125" s="18">
        <v>2.1646060464909281E-6</v>
      </c>
      <c r="O125" s="18">
        <v>1.5392483148537927E-10</v>
      </c>
      <c r="P125" s="18">
        <v>5.0509225500401457E-8</v>
      </c>
      <c r="Q125" s="28">
        <v>2.9229165741699785</v>
      </c>
      <c r="R125" s="61">
        <v>128.51831437145702</v>
      </c>
      <c r="S125" s="58">
        <v>7.0039820275334871E-7</v>
      </c>
      <c r="U125" s="88"/>
      <c r="V125" s="88"/>
      <c r="W125" s="85"/>
      <c r="X125" s="85"/>
    </row>
    <row r="126" spans="9:24" x14ac:dyDescent="0.25">
      <c r="I126" s="49">
        <v>9.4649167601099995E-2</v>
      </c>
      <c r="J126" s="50">
        <v>1.0880782971459197E-9</v>
      </c>
      <c r="K126" s="50">
        <v>8.9244273891508599E-11</v>
      </c>
      <c r="L126" s="67">
        <v>1.2257058795530492E-9</v>
      </c>
      <c r="N126" s="18">
        <v>2.2613068827501544E-6</v>
      </c>
      <c r="O126" s="18">
        <v>1.5392483148537927E-10</v>
      </c>
      <c r="P126" s="18">
        <v>5.0509225500401457E-8</v>
      </c>
      <c r="Q126" s="28">
        <v>3.1301690299665172</v>
      </c>
      <c r="R126" s="61">
        <v>129.113398894488</v>
      </c>
      <c r="S126" s="58">
        <v>7.0039820275334871E-7</v>
      </c>
      <c r="U126" s="88"/>
      <c r="V126" s="88"/>
      <c r="W126" s="85"/>
      <c r="X126" s="85"/>
    </row>
    <row r="127" spans="9:24" x14ac:dyDescent="0.25">
      <c r="I127" s="49">
        <v>9.6542150953099995E-2</v>
      </c>
      <c r="J127" s="50">
        <v>1.1985934180536025E-9</v>
      </c>
      <c r="K127" s="50">
        <v>9.7412636217685024E-11</v>
      </c>
      <c r="L127" s="67">
        <v>1.2606303127101778E-9</v>
      </c>
      <c r="N127" s="18">
        <v>2.3573821722012997E-6</v>
      </c>
      <c r="O127" s="18">
        <v>1.5392483148537927E-10</v>
      </c>
      <c r="P127" s="18">
        <v>5.0509225500401457E-8</v>
      </c>
      <c r="Q127" s="28">
        <v>3.4065908708650694</v>
      </c>
      <c r="R127" s="61">
        <v>129.113398894488</v>
      </c>
      <c r="S127" s="58">
        <v>7.1402728795994694E-7</v>
      </c>
      <c r="U127" s="88"/>
      <c r="V127" s="88"/>
      <c r="W127" s="85"/>
      <c r="X127" s="85"/>
    </row>
    <row r="128" spans="9:24" x14ac:dyDescent="0.25">
      <c r="I128" s="49">
        <v>9.8472993972199996E-2</v>
      </c>
      <c r="J128" s="50">
        <v>1.3923885160697903E-9</v>
      </c>
      <c r="K128" s="50">
        <v>9.8114228810005198E-11</v>
      </c>
      <c r="L128" s="67">
        <v>1.3029081713261472E-9</v>
      </c>
      <c r="N128" s="18">
        <v>2.4524287284326086E-6</v>
      </c>
      <c r="O128" s="18">
        <v>1.5392483148537927E-10</v>
      </c>
      <c r="P128" s="18">
        <v>5.0509225500401457E-8</v>
      </c>
      <c r="Q128" s="28">
        <v>3.7831742673957054</v>
      </c>
      <c r="R128" s="61">
        <v>129.70848341751898</v>
      </c>
      <c r="S128" s="58">
        <v>7.1402728795994694E-7</v>
      </c>
      <c r="U128" s="88"/>
      <c r="V128" s="88"/>
      <c r="W128" s="85"/>
      <c r="X128" s="85"/>
    </row>
    <row r="129" spans="9:28" x14ac:dyDescent="0.25">
      <c r="I129" s="49">
        <v>0.100442453852</v>
      </c>
      <c r="J129" s="50">
        <v>1.4616509744443037E-9</v>
      </c>
      <c r="K129" s="50">
        <v>1.157640690806889E-10</v>
      </c>
      <c r="L129" s="67">
        <v>1.3914111846373138E-9</v>
      </c>
      <c r="N129" s="18">
        <v>2.545810910286911E-6</v>
      </c>
      <c r="O129" s="18">
        <v>1.5392483148537927E-10</v>
      </c>
      <c r="P129" s="18">
        <v>5.0509225500401457E-8</v>
      </c>
      <c r="Q129" s="28">
        <v>4.3147468496014616</v>
      </c>
      <c r="R129" s="61">
        <v>129.70848341751898</v>
      </c>
      <c r="S129" s="58">
        <v>7.304171642413913E-7</v>
      </c>
      <c r="U129" s="88"/>
      <c r="V129" s="88"/>
      <c r="W129" s="85"/>
      <c r="X129" s="85"/>
    </row>
    <row r="130" spans="9:28" x14ac:dyDescent="0.25">
      <c r="I130" s="49">
        <v>0.102451302929</v>
      </c>
      <c r="J130" s="50">
        <v>1.7029958319115315E-9</v>
      </c>
      <c r="K130" s="50">
        <v>1.2944303922642676E-10</v>
      </c>
      <c r="L130" s="67">
        <v>1.4373281475932199E-9</v>
      </c>
      <c r="N130" s="18">
        <v>2.6365079754062598E-6</v>
      </c>
      <c r="O130" s="18">
        <v>1.5392483148537927E-10</v>
      </c>
      <c r="P130" s="18">
        <v>5.0509225500401457E-8</v>
      </c>
      <c r="Q130" s="28">
        <v>5.1082455333388124</v>
      </c>
      <c r="R130" s="61">
        <v>130.30356794054995</v>
      </c>
      <c r="S130" s="58">
        <v>7.304171642413913E-7</v>
      </c>
      <c r="U130" s="88"/>
      <c r="V130" s="88"/>
      <c r="W130" s="85"/>
      <c r="X130" s="85"/>
    </row>
    <row r="131" spans="9:28" x14ac:dyDescent="0.25">
      <c r="I131" s="49">
        <v>0.104500328987</v>
      </c>
      <c r="J131" s="50">
        <v>1.9524255133005583E-9</v>
      </c>
      <c r="K131" s="50">
        <v>1.3919544079063495E-10</v>
      </c>
      <c r="L131" s="67">
        <v>1.4812398581589825E-9</v>
      </c>
      <c r="N131" s="18">
        <v>2.7228254989853716E-6</v>
      </c>
      <c r="O131" s="18">
        <v>1.5392483148537927E-10</v>
      </c>
      <c r="P131" s="18">
        <v>5.0509225500401457E-8</v>
      </c>
      <c r="Q131" s="28">
        <v>6.4053636333227102</v>
      </c>
      <c r="R131" s="61">
        <v>130.30356794054995</v>
      </c>
      <c r="S131" s="58">
        <v>7.4906893231713921E-7</v>
      </c>
      <c r="U131" s="88"/>
      <c r="V131" s="88"/>
      <c r="W131" s="88"/>
      <c r="X131" s="88"/>
    </row>
    <row r="132" spans="9:28" x14ac:dyDescent="0.25">
      <c r="I132" s="49">
        <v>0.106590335567</v>
      </c>
      <c r="J132" s="50">
        <v>1.958401617062955E-9</v>
      </c>
      <c r="K132" s="50">
        <v>1.4563228759192143E-10</v>
      </c>
      <c r="L132" s="67">
        <v>1.5525933634573101E-9</v>
      </c>
      <c r="N132" s="18">
        <v>2.8018000489254963E-6</v>
      </c>
      <c r="O132" s="18">
        <v>1.5392483148537927E-10</v>
      </c>
      <c r="P132" s="18">
        <v>5.0509225500401457E-8</v>
      </c>
      <c r="Q132" s="28">
        <v>8.908450076744499</v>
      </c>
      <c r="R132" s="61">
        <v>130.89865246358093</v>
      </c>
      <c r="S132" s="58">
        <v>7.4906893231713921E-7</v>
      </c>
      <c r="U132" s="88"/>
      <c r="V132" s="88"/>
      <c r="W132" s="88"/>
      <c r="X132" s="88"/>
    </row>
    <row r="133" spans="9:28" x14ac:dyDescent="0.25">
      <c r="I133" s="49">
        <v>0.10872214227800001</v>
      </c>
      <c r="J133" s="50">
        <v>1.7624991154054388E-9</v>
      </c>
      <c r="K133" s="50">
        <v>1.4916455524123818E-10</v>
      </c>
      <c r="L133" s="67">
        <v>1.6024500590934055E-9</v>
      </c>
      <c r="N133" s="18">
        <v>2.867818413231171E-6</v>
      </c>
      <c r="O133" s="18">
        <v>1.5392483148537927E-10</v>
      </c>
      <c r="P133" s="18">
        <v>5.0509225500401457E-8</v>
      </c>
      <c r="Q133" s="28">
        <v>16.306014471712821</v>
      </c>
      <c r="R133" s="61">
        <v>130.89865246358093</v>
      </c>
      <c r="S133" s="58">
        <v>7.6981071350181707E-7</v>
      </c>
      <c r="U133" s="88"/>
      <c r="V133" s="88"/>
      <c r="W133" s="88"/>
      <c r="X133" s="88"/>
    </row>
    <row r="134" spans="9:28" x14ac:dyDescent="0.25">
      <c r="I134" s="49">
        <v>0.110896585124</v>
      </c>
      <c r="J134" s="50">
        <v>1.977109767013986E-9</v>
      </c>
      <c r="K134" s="50">
        <v>1.6261419188338414E-10</v>
      </c>
      <c r="L134" s="67">
        <v>1.6567996455893427E-9</v>
      </c>
      <c r="N134" s="18">
        <v>2.9089673885848588E-6</v>
      </c>
      <c r="O134" s="18">
        <v>1.5392483148537927E-10</v>
      </c>
      <c r="P134" s="18">
        <v>5.0509225500401457E-8</v>
      </c>
      <c r="Q134" s="28">
        <v>22.017488372721189</v>
      </c>
      <c r="R134" s="61">
        <v>131.49373698661191</v>
      </c>
      <c r="S134" s="58">
        <v>7.6981071350181707E-7</v>
      </c>
      <c r="U134" s="88"/>
      <c r="V134" s="88"/>
      <c r="W134" s="88"/>
      <c r="X134" s="88"/>
    </row>
    <row r="135" spans="9:28" x14ac:dyDescent="0.25">
      <c r="I135" s="49">
        <v>0.113114516826</v>
      </c>
      <c r="J135" s="50">
        <v>2.3987772526519624E-9</v>
      </c>
      <c r="K135" s="50">
        <v>1.7946836858334428E-10</v>
      </c>
      <c r="L135" s="67">
        <v>1.718287455385894E-9</v>
      </c>
      <c r="N135" s="18">
        <v>2.9136569103414838E-6</v>
      </c>
      <c r="O135" s="18">
        <v>1.5392483148537927E-10</v>
      </c>
      <c r="P135" s="18">
        <v>5.0509225500401457E-8</v>
      </c>
      <c r="Q135" s="28">
        <v>759.18154805571794</v>
      </c>
      <c r="R135" s="61">
        <v>131.49373698661191</v>
      </c>
      <c r="S135" s="58">
        <v>7.9261380457296351E-7</v>
      </c>
      <c r="U135" s="88"/>
      <c r="V135" s="88"/>
      <c r="W135" s="88"/>
      <c r="X135" s="88"/>
    </row>
    <row r="136" spans="9:28" x14ac:dyDescent="0.25">
      <c r="I136" s="49">
        <v>0.115376807163</v>
      </c>
      <c r="J136" s="50">
        <v>2.4919445821766614E-9</v>
      </c>
      <c r="K136" s="50">
        <v>1.9636655812663138E-10</v>
      </c>
      <c r="L136" s="67">
        <v>1.7781484057615531E-9</v>
      </c>
      <c r="N136" s="18">
        <v>2.9159528653701298E-6</v>
      </c>
      <c r="O136" s="18">
        <v>1.536636441561039E-10</v>
      </c>
      <c r="P136" s="18">
        <v>5.0423518928012123E-8</v>
      </c>
      <c r="Q136" s="28">
        <v>22.441070927243821</v>
      </c>
      <c r="R136" s="61">
        <v>132.08882150964288</v>
      </c>
      <c r="S136" s="58">
        <v>7.9261380457296351E-7</v>
      </c>
      <c r="U136" s="88"/>
      <c r="V136" s="88"/>
      <c r="W136" s="88"/>
      <c r="X136" s="88"/>
    </row>
    <row r="137" spans="9:28" x14ac:dyDescent="0.25">
      <c r="I137" s="49">
        <v>0.117684343306</v>
      </c>
      <c r="J137" s="50">
        <v>2.5838153651625768E-9</v>
      </c>
      <c r="K137" s="50">
        <v>2.0801789181764754E-10</v>
      </c>
      <c r="L137" s="67">
        <v>1.8392098497649317E-9</v>
      </c>
      <c r="N137" s="18">
        <v>2.9360990981397012E-6</v>
      </c>
      <c r="O137" s="18">
        <v>1.5137181323328853E-10</v>
      </c>
      <c r="P137" s="18">
        <v>4.9671472596226664E-8</v>
      </c>
      <c r="Q137" s="28">
        <v>16.61971706789852</v>
      </c>
      <c r="R137" s="61">
        <v>132.08882150964288</v>
      </c>
      <c r="S137" s="58">
        <v>8.1749928172529403E-7</v>
      </c>
      <c r="U137" s="88"/>
      <c r="V137" s="88"/>
      <c r="W137" s="88"/>
      <c r="X137" s="88"/>
    </row>
    <row r="138" spans="9:28" x14ac:dyDescent="0.25">
      <c r="I138" s="49">
        <v>0.120038030172</v>
      </c>
      <c r="J138" s="50">
        <v>2.9795413741341316E-9</v>
      </c>
      <c r="K138" s="50">
        <v>2.2857897620295644E-10</v>
      </c>
      <c r="L138" s="67">
        <v>1.9005821254543673E-9</v>
      </c>
      <c r="N138" s="18">
        <v>2.968421199065339E-6</v>
      </c>
      <c r="O138" s="18">
        <v>1.4769485827902923E-10</v>
      </c>
      <c r="P138" s="18">
        <v>4.8464908683521378E-8</v>
      </c>
      <c r="Q138" s="28">
        <v>9.0798349312050064</v>
      </c>
      <c r="R138" s="61">
        <v>132.68390603267386</v>
      </c>
      <c r="S138" s="58">
        <v>8.1749928172529403E-7</v>
      </c>
      <c r="U138" s="88"/>
      <c r="V138" s="88"/>
      <c r="W138" s="88"/>
      <c r="X138" s="88"/>
    </row>
    <row r="139" spans="9:28" x14ac:dyDescent="0.25">
      <c r="I139" s="49">
        <v>0.12243879077600001</v>
      </c>
      <c r="J139" s="50">
        <v>2.6270633444011024E-9</v>
      </c>
      <c r="K139" s="50">
        <v>2.2746973489526252E-10</v>
      </c>
      <c r="L139" s="67">
        <v>1.9721814138617427E-9</v>
      </c>
      <c r="N139" s="18">
        <v>3.0070865522677076E-6</v>
      </c>
      <c r="O139" s="18">
        <v>1.4329629636800991E-10</v>
      </c>
      <c r="P139" s="18">
        <v>4.7021555110889698E-8</v>
      </c>
      <c r="Q139" s="28">
        <v>6.5285929610516051</v>
      </c>
      <c r="R139" s="61">
        <v>132.68390603267386</v>
      </c>
      <c r="S139" s="58">
        <v>8.4449503294503625E-7</v>
      </c>
      <c r="U139" s="88"/>
      <c r="V139" s="88"/>
      <c r="W139" s="88"/>
      <c r="X139" s="88"/>
    </row>
    <row r="140" spans="9:28" x14ac:dyDescent="0.25">
      <c r="I140" s="49">
        <v>0.124887566591</v>
      </c>
      <c r="J140" s="50">
        <v>3.3298361808963115E-9</v>
      </c>
      <c r="K140" s="50">
        <v>2.7720705881578001E-10</v>
      </c>
      <c r="L140" s="70">
        <v>2.0288525016034893E-9</v>
      </c>
      <c r="N140" s="18">
        <v>3.0493469708363537E-6</v>
      </c>
      <c r="O140" s="18">
        <v>1.3848876062698392E-10</v>
      </c>
      <c r="P140" s="18">
        <v>4.5443999985433627E-8</v>
      </c>
      <c r="Q140" s="28">
        <v>5.2065203072599511</v>
      </c>
      <c r="R140" s="61">
        <v>133.27899055570484</v>
      </c>
      <c r="S140" s="58">
        <v>8.4449503294503625E-7</v>
      </c>
      <c r="U140" s="88"/>
      <c r="V140" s="88"/>
      <c r="W140" s="88"/>
      <c r="X140" s="88"/>
    </row>
    <row r="141" spans="9:28" x14ac:dyDescent="0.25">
      <c r="I141" s="49">
        <v>0.12738531792300001</v>
      </c>
      <c r="J141" s="50">
        <v>3.8699220010984372E-9</v>
      </c>
      <c r="K141" s="50">
        <v>3.3426792588889877E-10</v>
      </c>
      <c r="L141" s="70">
        <v>2.1010305001703875E-9</v>
      </c>
      <c r="N141" s="18">
        <v>3.0937515804215497E-6</v>
      </c>
      <c r="O141" s="18">
        <v>1.3343730219667107E-10</v>
      </c>
      <c r="P141" s="18">
        <v>4.378640354371324E-8</v>
      </c>
      <c r="Q141" s="28">
        <v>4.3977559313701642</v>
      </c>
      <c r="R141" s="61">
        <v>133.27899055570484</v>
      </c>
      <c r="S141" s="58">
        <v>8.7361726554170874E-7</v>
      </c>
      <c r="U141" s="88"/>
      <c r="V141" s="88"/>
      <c r="W141" s="88"/>
      <c r="X141" s="88"/>
    </row>
    <row r="142" spans="9:28" x14ac:dyDescent="0.25">
      <c r="I142" s="49">
        <v>0.12993302428100001</v>
      </c>
      <c r="J142" s="50">
        <v>3.3863863668780645E-9</v>
      </c>
      <c r="K142" s="50">
        <v>3.0130473277410483E-10</v>
      </c>
      <c r="L142" s="70">
        <v>2.1606313850259438E-9</v>
      </c>
      <c r="N142" s="18">
        <v>3.1394708032210699E-6</v>
      </c>
      <c r="O142" s="18">
        <v>1.2823629366185033E-10</v>
      </c>
      <c r="P142" s="18">
        <v>4.2079733408818686E-8</v>
      </c>
      <c r="Q142" s="28">
        <v>3.8559567116627438</v>
      </c>
      <c r="R142" s="61">
        <v>133.87407507873581</v>
      </c>
      <c r="S142" s="58">
        <v>8.7361726554170874E-7</v>
      </c>
      <c r="U142" s="88"/>
      <c r="V142" s="88"/>
      <c r="W142" s="88"/>
      <c r="X142" s="88"/>
    </row>
    <row r="143" spans="9:28" x14ac:dyDescent="0.25">
      <c r="I143" s="49"/>
      <c r="J143" s="50"/>
      <c r="K143" s="50"/>
      <c r="L143" s="70">
        <v>2.5989343451316579E-6</v>
      </c>
      <c r="N143" s="18">
        <v>3.18600489135628E-6</v>
      </c>
      <c r="O143" s="18">
        <v>1.2294258622914508E-10</v>
      </c>
      <c r="P143" s="18">
        <v>4.0342644858053837E-8</v>
      </c>
      <c r="Q143" s="28">
        <v>3.4721284307750491</v>
      </c>
      <c r="R143" s="61">
        <v>133.87407507873581</v>
      </c>
      <c r="S143" s="58">
        <v>9.0486263727406651E-7</v>
      </c>
      <c r="U143" s="88"/>
      <c r="V143" s="88"/>
      <c r="W143" s="88"/>
      <c r="X143" s="88"/>
    </row>
    <row r="144" spans="9:28" x14ac:dyDescent="0.25">
      <c r="I144" s="49"/>
      <c r="J144" s="50"/>
      <c r="K144" s="50"/>
      <c r="L144" s="70">
        <v>2.3877000987297301E-6</v>
      </c>
      <c r="N144" s="18">
        <v>3.2330426396367667E-6</v>
      </c>
      <c r="O144" s="30">
        <v>1.1759158253124041E-10</v>
      </c>
      <c r="P144" s="18">
        <v>3.8586754987506077E-8</v>
      </c>
      <c r="Q144" s="28">
        <v>3.19038865953351</v>
      </c>
      <c r="R144" s="61">
        <v>134.46915960176679</v>
      </c>
      <c r="S144" s="58">
        <v>9.0486263727406651E-7</v>
      </c>
      <c r="U144" s="88"/>
      <c r="V144" s="88"/>
      <c r="W144" s="88"/>
      <c r="X144" s="88"/>
      <c r="AB144" s="86"/>
    </row>
    <row r="145" spans="9:26" x14ac:dyDescent="0.25">
      <c r="I145" s="49"/>
      <c r="J145" s="50"/>
      <c r="K145" s="50"/>
      <c r="L145" s="70"/>
      <c r="N145" s="18">
        <v>3.2803866509893116E-6</v>
      </c>
      <c r="O145" s="18">
        <v>1.1220573841492664E-10</v>
      </c>
      <c r="P145" s="18">
        <v>3.6819432507073527E-8</v>
      </c>
      <c r="Q145" s="28">
        <v>2.9791489857958844</v>
      </c>
      <c r="R145" s="61">
        <v>134.46915960176679</v>
      </c>
      <c r="S145" s="58">
        <v>9.3820467653694985E-7</v>
      </c>
      <c r="U145" s="88"/>
      <c r="V145" s="85"/>
      <c r="W145" s="88"/>
      <c r="X145" s="88"/>
    </row>
    <row r="146" spans="9:26" x14ac:dyDescent="0.25">
      <c r="I146" s="49"/>
      <c r="J146" s="50"/>
      <c r="K146" s="50"/>
      <c r="L146" s="70"/>
      <c r="N146" s="18">
        <v>3.3279110754048987E-6</v>
      </c>
      <c r="O146" s="18">
        <v>1.0679937054901214E-10</v>
      </c>
      <c r="P146" s="18">
        <v>3.5045375319273139E-8</v>
      </c>
      <c r="Q146" s="28">
        <v>2.8192962671751349</v>
      </c>
      <c r="R146" s="61">
        <v>135.06424412479777</v>
      </c>
      <c r="S146" s="58">
        <v>9.3820467653694985E-7</v>
      </c>
      <c r="U146" s="88"/>
      <c r="V146" s="85"/>
      <c r="W146" s="88"/>
      <c r="X146" s="88"/>
    </row>
    <row r="147" spans="9:26" x14ac:dyDescent="0.25">
      <c r="I147" s="49"/>
      <c r="J147" s="50"/>
      <c r="K147" s="50"/>
      <c r="L147" s="70"/>
      <c r="N147" s="18">
        <v>3.3755364040527664E-6</v>
      </c>
      <c r="O147" s="18">
        <v>1.0138152384025746E-10</v>
      </c>
      <c r="P147" s="18">
        <v>3.3267551439276947E-8</v>
      </c>
      <c r="Q147" s="28">
        <v>2.6987061030004327</v>
      </c>
      <c r="R147" s="61">
        <v>135.06424412479777</v>
      </c>
      <c r="S147" s="58">
        <v>9.7359197006992953E-7</v>
      </c>
      <c r="U147" s="88"/>
      <c r="V147" s="85"/>
      <c r="W147" s="88"/>
      <c r="X147" s="88"/>
    </row>
    <row r="148" spans="9:26" x14ac:dyDescent="0.25">
      <c r="I148" s="49"/>
      <c r="J148" s="50"/>
      <c r="K148" s="50"/>
      <c r="L148" s="70"/>
      <c r="N148" s="18">
        <v>3.4232137460237091E-6</v>
      </c>
      <c r="O148" s="18">
        <v>9.5957760107531874E-11</v>
      </c>
      <c r="P148" s="18">
        <v>3.1487785934299554E-8</v>
      </c>
      <c r="Q148" s="28">
        <v>2.6094570954364764</v>
      </c>
      <c r="R148" s="61">
        <v>135.65932864782874</v>
      </c>
      <c r="S148" s="58">
        <v>9.7359197006992953E-7</v>
      </c>
      <c r="U148" s="88"/>
      <c r="V148" s="85"/>
      <c r="W148" s="88"/>
      <c r="X148" s="88"/>
    </row>
    <row r="149" spans="9:26" x14ac:dyDescent="0.25">
      <c r="I149" s="49"/>
      <c r="J149" s="50"/>
      <c r="K149" s="50"/>
      <c r="L149" s="70"/>
      <c r="N149" s="18">
        <v>3.4709146126661632E-6</v>
      </c>
      <c r="O149" s="18">
        <v>9.0531320213449662E-11</v>
      </c>
      <c r="P149" s="18">
        <v>2.9707142267974624E-8</v>
      </c>
      <c r="Q149" s="28">
        <v>2.5463212145279344</v>
      </c>
      <c r="R149" s="61">
        <v>135.65932864782874</v>
      </c>
      <c r="S149" s="58">
        <v>1.0109472478331438E-6</v>
      </c>
      <c r="U149" s="88"/>
      <c r="V149" s="85"/>
      <c r="W149" s="88"/>
      <c r="X149" s="88"/>
    </row>
    <row r="150" spans="9:26" x14ac:dyDescent="0.25">
      <c r="I150" s="49"/>
      <c r="J150" s="50"/>
      <c r="K150" s="50"/>
      <c r="L150" s="70"/>
      <c r="N150" s="18">
        <v>3.5186240016258949E-6</v>
      </c>
      <c r="O150" s="18">
        <v>8.5103910822464795E-11</v>
      </c>
      <c r="P150" s="18">
        <v>2.7926180468849378E-8</v>
      </c>
      <c r="Q150" s="28">
        <v>2.5059098562996498</v>
      </c>
      <c r="R150" s="61">
        <v>136.25441317085972</v>
      </c>
      <c r="S150" s="58">
        <v>1.0109472478331438E-6</v>
      </c>
      <c r="U150" s="88"/>
      <c r="V150" s="85"/>
      <c r="W150" s="88"/>
      <c r="X150" s="88"/>
    </row>
    <row r="151" spans="9:26" x14ac:dyDescent="0.25">
      <c r="I151" s="49"/>
      <c r="J151" s="50"/>
      <c r="K151" s="50"/>
      <c r="L151" s="70"/>
      <c r="N151" s="18">
        <v>3.5663354893636553E-6</v>
      </c>
      <c r="O151" s="18">
        <v>7.9676262674961922E-11</v>
      </c>
      <c r="P151" s="18">
        <v>2.614514032364643E-8</v>
      </c>
      <c r="Q151" s="28">
        <v>2.4861838952456781</v>
      </c>
      <c r="R151" s="61">
        <v>136.25441317085972</v>
      </c>
      <c r="S151" s="58">
        <v>1.0501671151502316E-6</v>
      </c>
      <c r="U151" s="88"/>
      <c r="V151" s="85"/>
      <c r="W151" s="88"/>
      <c r="X151" s="88"/>
    </row>
    <row r="152" spans="9:26" x14ac:dyDescent="0.25">
      <c r="I152" s="49"/>
      <c r="J152" s="50"/>
      <c r="K152" s="50"/>
      <c r="L152" s="70"/>
      <c r="N152" s="18">
        <v>3.6140473789749372E-6</v>
      </c>
      <c r="O152" s="18">
        <v>7.4248568810417348E-11</v>
      </c>
      <c r="P152" s="18">
        <v>2.4364085176755027E-8</v>
      </c>
      <c r="Q152" s="28">
        <v>2.4861838952456781</v>
      </c>
      <c r="R152" s="61">
        <v>136.8494976938907</v>
      </c>
      <c r="S152" s="58">
        <v>1.0501671151502316E-6</v>
      </c>
      <c r="U152" s="88"/>
      <c r="V152" s="85"/>
      <c r="W152" s="88"/>
      <c r="X152" s="88"/>
    </row>
    <row r="153" spans="9:26" x14ac:dyDescent="0.25">
      <c r="I153" s="49"/>
      <c r="J153" s="50"/>
      <c r="K153" s="50"/>
      <c r="L153" s="70"/>
      <c r="N153" s="18">
        <v>3.6617588667126977E-6</v>
      </c>
      <c r="O153" s="18">
        <v>6.8820920662914475E-11</v>
      </c>
      <c r="P153" s="18">
        <v>2.2583045031552079E-8</v>
      </c>
      <c r="Q153" s="28">
        <v>2.5059098562996498</v>
      </c>
      <c r="R153" s="61">
        <v>136.8494976938907</v>
      </c>
      <c r="S153" s="58">
        <v>1.0911223817082227E-6</v>
      </c>
      <c r="U153" s="88"/>
      <c r="V153" s="85"/>
      <c r="W153" s="88"/>
      <c r="X153" s="88"/>
    </row>
    <row r="154" spans="9:26" x14ac:dyDescent="0.25">
      <c r="I154" s="49"/>
      <c r="J154" s="50"/>
      <c r="K154" s="50"/>
      <c r="L154" s="70"/>
      <c r="N154" s="18">
        <v>3.7094682556724293E-6</v>
      </c>
      <c r="O154" s="18">
        <v>6.3393511271929608E-11</v>
      </c>
      <c r="P154" s="18">
        <v>2.0802083232426833E-8</v>
      </c>
      <c r="Q154" s="28">
        <v>2.5463212145279344</v>
      </c>
      <c r="R154" s="61">
        <v>137.44458221692167</v>
      </c>
      <c r="S154" s="58">
        <v>1.0911223817082227E-6</v>
      </c>
      <c r="U154" s="88"/>
      <c r="V154" s="85"/>
      <c r="W154" s="88"/>
      <c r="X154" s="88"/>
    </row>
    <row r="155" spans="9:26" x14ac:dyDescent="0.25">
      <c r="I155" s="49"/>
      <c r="J155" s="50"/>
      <c r="K155" s="50"/>
      <c r="L155" s="70"/>
      <c r="N155" s="18">
        <v>3.7571691223148835E-6</v>
      </c>
      <c r="O155" s="18">
        <v>5.7967071377847396E-11</v>
      </c>
      <c r="P155" s="18">
        <v>1.9021439566101903E-8</v>
      </c>
      <c r="Q155" s="28">
        <v>2.6094570954364764</v>
      </c>
      <c r="R155" s="61">
        <v>137.44458221692167</v>
      </c>
      <c r="S155" s="58">
        <v>1.1336589853332918E-6</v>
      </c>
      <c r="U155" s="88"/>
      <c r="V155" s="85"/>
      <c r="W155" s="88"/>
      <c r="X155" s="88"/>
    </row>
    <row r="156" spans="9:26" x14ac:dyDescent="0.25">
      <c r="I156" s="49"/>
      <c r="J156" s="50"/>
      <c r="K156" s="50"/>
      <c r="L156" s="70"/>
      <c r="N156" s="18">
        <v>3.8048464642858262E-6</v>
      </c>
      <c r="O156" s="18">
        <v>5.2543307645121814E-11</v>
      </c>
      <c r="P156" s="18">
        <v>1.7241674061124513E-8</v>
      </c>
      <c r="Q156" s="28">
        <v>2.6987061030004327</v>
      </c>
      <c r="R156" s="61">
        <v>138.03966673995265</v>
      </c>
      <c r="S156" s="58">
        <v>1.1336589853332918E-6</v>
      </c>
      <c r="U156" s="88"/>
      <c r="V156" s="85"/>
      <c r="W156" s="88"/>
      <c r="X156" s="88"/>
    </row>
    <row r="157" spans="9:26" x14ac:dyDescent="0.25">
      <c r="I157" s="49"/>
      <c r="J157" s="50"/>
      <c r="K157" s="50"/>
      <c r="N157" s="18">
        <v>3.8524717929336939E-6</v>
      </c>
      <c r="O157" s="18">
        <v>4.7125460936367147E-11</v>
      </c>
      <c r="P157" s="18">
        <v>1.5463850181128318E-8</v>
      </c>
      <c r="Q157" s="28">
        <v>2.8192962671751349</v>
      </c>
      <c r="R157" s="61">
        <v>138.03966673995265</v>
      </c>
      <c r="S157" s="58">
        <v>1.1775995081552932E-6</v>
      </c>
      <c r="U157" s="88"/>
      <c r="V157" s="85"/>
      <c r="W157" s="88"/>
      <c r="X157" s="88"/>
    </row>
    <row r="158" spans="9:26" x14ac:dyDescent="0.25">
      <c r="I158" s="49"/>
      <c r="J158" s="50"/>
      <c r="K158" s="50"/>
      <c r="N158" s="18">
        <v>3.8999962173492809E-6</v>
      </c>
      <c r="O158" s="18">
        <v>4.1719093070452626E-11</v>
      </c>
      <c r="P158" s="18">
        <v>1.368979299332793E-8</v>
      </c>
      <c r="Q158" s="28">
        <v>2.9791489857958844</v>
      </c>
      <c r="R158" s="61">
        <v>138.63475126298363</v>
      </c>
      <c r="S158" s="58">
        <v>1.1775995081552932E-6</v>
      </c>
      <c r="U158" s="88"/>
      <c r="V158" s="85"/>
      <c r="W158" s="88"/>
      <c r="X158" s="88"/>
    </row>
    <row r="159" spans="9:26" x14ac:dyDescent="0.25">
      <c r="I159" s="49"/>
      <c r="J159" s="50"/>
      <c r="K159" s="50"/>
      <c r="N159" s="18">
        <v>3.9473402287018254E-6</v>
      </c>
      <c r="O159" s="18">
        <v>3.6333248954138858E-11</v>
      </c>
      <c r="P159" s="18">
        <v>1.1922470512895382E-8</v>
      </c>
      <c r="Q159" s="28">
        <v>3.19038865953351</v>
      </c>
      <c r="R159" s="61">
        <v>138.63475126298363</v>
      </c>
      <c r="S159" s="58">
        <v>1.2227452682968356E-6</v>
      </c>
      <c r="U159" s="88"/>
      <c r="V159" s="85"/>
      <c r="W159" s="88"/>
      <c r="X159" s="88"/>
    </row>
    <row r="160" spans="9:26" x14ac:dyDescent="0.25">
      <c r="I160" s="49"/>
      <c r="J160" s="50"/>
      <c r="K160" s="50"/>
      <c r="M160" s="32"/>
      <c r="N160" s="18">
        <v>3.9943779769823126E-6</v>
      </c>
      <c r="O160" s="18">
        <v>3.098224525623419E-11</v>
      </c>
      <c r="P160" s="18">
        <v>1.0166580642347619E-8</v>
      </c>
      <c r="Q160" s="28">
        <v>3.4721284307750491</v>
      </c>
      <c r="R160" s="61">
        <v>139.2298357860146</v>
      </c>
      <c r="S160" s="58">
        <v>1.2227452682968356E-6</v>
      </c>
      <c r="U160" s="88"/>
      <c r="V160" s="85"/>
      <c r="W160" s="88"/>
      <c r="X160" s="88"/>
      <c r="Y160" s="85"/>
      <c r="Z160" s="85"/>
    </row>
    <row r="161" spans="1:34" x14ac:dyDescent="0.25">
      <c r="I161" s="49"/>
      <c r="J161" s="50"/>
      <c r="K161" s="50"/>
      <c r="M161" s="32"/>
      <c r="N161" s="18">
        <v>4.0409120651175222E-6</v>
      </c>
      <c r="O161" s="18">
        <v>2.5688537823528933E-11</v>
      </c>
      <c r="P161" s="18">
        <v>8.4294920915827692E-9</v>
      </c>
      <c r="Q161" s="28">
        <v>3.8559567116627438</v>
      </c>
      <c r="R161" s="61">
        <v>139.2298357860146</v>
      </c>
      <c r="S161" s="58">
        <v>1.2688789523449335E-6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/>
      <c r="J162" s="50"/>
      <c r="K162" s="50"/>
      <c r="M162" s="32"/>
      <c r="N162" s="18">
        <v>4.0866312879170424E-6</v>
      </c>
      <c r="O162" s="18">
        <v>2.0487529288708197E-11</v>
      </c>
      <c r="P162" s="18">
        <v>6.7228219566882188E-9</v>
      </c>
      <c r="Q162" s="28">
        <v>4.3977559313701642</v>
      </c>
      <c r="R162" s="61">
        <v>139.82492030904558</v>
      </c>
      <c r="S162" s="58">
        <v>1.2688789523449335E-6</v>
      </c>
      <c r="U162" s="88"/>
      <c r="V162" s="85"/>
      <c r="W162" s="88"/>
      <c r="X162" s="88"/>
      <c r="Y162" s="85"/>
      <c r="Z162" s="85"/>
    </row>
    <row r="163" spans="1:34" x14ac:dyDescent="0.25">
      <c r="I163" s="49"/>
      <c r="J163" s="50"/>
      <c r="K163" s="50"/>
      <c r="M163" s="32"/>
      <c r="N163" s="18">
        <v>4.1310358975022389E-6</v>
      </c>
      <c r="O163" s="18">
        <v>1.5436070858395355E-11</v>
      </c>
      <c r="P163" s="18">
        <v>5.0652255149678292E-9</v>
      </c>
      <c r="Q163" s="28">
        <v>5.2065203072599511</v>
      </c>
      <c r="R163" s="61">
        <v>139.82492030904558</v>
      </c>
      <c r="S163" s="58">
        <v>1.3157677359500882E-6</v>
      </c>
      <c r="U163" s="88"/>
      <c r="V163" s="85"/>
      <c r="W163" s="88"/>
      <c r="X163" s="88"/>
      <c r="Y163" s="85"/>
      <c r="Z163" s="85"/>
    </row>
    <row r="164" spans="1:34" x14ac:dyDescent="0.25">
      <c r="I164" s="49"/>
      <c r="J164" s="50"/>
      <c r="K164" s="50"/>
      <c r="M164" s="32"/>
      <c r="N164" s="18">
        <v>4.1732963160708849E-6</v>
      </c>
      <c r="O164" s="18">
        <v>1.0628535117369356E-11</v>
      </c>
      <c r="P164" s="18">
        <v>3.4876703895117596E-9</v>
      </c>
      <c r="Q164" s="28">
        <v>6.5285929610516051</v>
      </c>
      <c r="R164" s="61">
        <v>140.42000483207656</v>
      </c>
      <c r="S164" s="58">
        <v>1.3157677359500882E-6</v>
      </c>
      <c r="U164" s="88"/>
      <c r="V164" s="85"/>
      <c r="W164" s="88"/>
      <c r="X164" s="88"/>
      <c r="Y164" s="85"/>
      <c r="Z164" s="85"/>
    </row>
    <row r="165" spans="1:34" x14ac:dyDescent="0.25">
      <c r="I165" s="49"/>
      <c r="J165" s="50"/>
      <c r="K165" s="50"/>
      <c r="M165" s="32"/>
      <c r="N165" s="18">
        <v>4.2119616692732531E-6</v>
      </c>
      <c r="O165" s="18">
        <v>6.2299732063500335E-12</v>
      </c>
      <c r="P165" s="18">
        <v>2.0443168168800779E-9</v>
      </c>
      <c r="Q165" s="28">
        <v>9.0798349312050064</v>
      </c>
      <c r="R165" s="61">
        <v>140.42000483207656</v>
      </c>
      <c r="S165" s="58">
        <v>1.3631668234903092E-6</v>
      </c>
      <c r="U165" s="88"/>
      <c r="V165" s="85"/>
      <c r="W165" s="88"/>
      <c r="X165" s="88"/>
      <c r="Y165" s="85"/>
      <c r="Z165" s="85"/>
    </row>
    <row r="166" spans="1:34" x14ac:dyDescent="0.25">
      <c r="I166" s="49"/>
      <c r="J166" s="50"/>
      <c r="K166" s="50"/>
      <c r="M166" s="32"/>
      <c r="N166" s="18">
        <v>4.2442837701988913E-6</v>
      </c>
      <c r="O166" s="18">
        <v>2.5530182520907448E-12</v>
      </c>
      <c r="P166" s="18">
        <v>8.377529041747936E-10</v>
      </c>
      <c r="Q166" s="28">
        <v>16.61971706789852</v>
      </c>
      <c r="R166" s="61">
        <v>141.01508935510753</v>
      </c>
      <c r="S166" s="58">
        <v>1.3631668234903092E-6</v>
      </c>
      <c r="U166" s="88"/>
      <c r="V166" s="85"/>
      <c r="W166" s="88"/>
      <c r="X166" s="88"/>
      <c r="Y166" s="85"/>
      <c r="Z166" s="85"/>
    </row>
    <row r="167" spans="1:34" x14ac:dyDescent="0.25">
      <c r="I167" s="49"/>
      <c r="J167" s="50"/>
      <c r="K167" s="50"/>
      <c r="M167" s="32"/>
      <c r="N167" s="18">
        <v>4.2644300029684623E-6</v>
      </c>
      <c r="O167" s="18">
        <v>2.6118732927538497E-13</v>
      </c>
      <c r="P167" s="18">
        <v>8.5706572389336148E-11</v>
      </c>
      <c r="Q167" s="28">
        <v>22.441070927243821</v>
      </c>
      <c r="R167" s="61">
        <v>141.01508935510753</v>
      </c>
      <c r="S167" s="58">
        <v>1.3988990854759866E-6</v>
      </c>
      <c r="U167" s="88"/>
      <c r="V167" s="85"/>
      <c r="W167" s="88"/>
      <c r="X167" s="88"/>
      <c r="Y167" s="85"/>
      <c r="Z167" s="85"/>
    </row>
    <row r="168" spans="1:34" x14ac:dyDescent="0.25">
      <c r="I168" s="49"/>
      <c r="J168" s="50"/>
      <c r="K168" s="50"/>
      <c r="M168" s="32"/>
      <c r="N168" s="18">
        <v>4.2667259579971087E-6</v>
      </c>
      <c r="O168" s="18">
        <v>0</v>
      </c>
      <c r="P168" s="18">
        <v>0</v>
      </c>
      <c r="Q168" s="28">
        <v>200</v>
      </c>
      <c r="R168" s="61">
        <v>141.31263161662304</v>
      </c>
      <c r="S168" s="58">
        <v>1.3988990854759866E-6</v>
      </c>
      <c r="U168" s="88"/>
      <c r="V168" s="85"/>
      <c r="W168" s="88"/>
      <c r="X168" s="88"/>
      <c r="Y168" s="85"/>
      <c r="Z168" s="85"/>
    </row>
    <row r="169" spans="1:34" x14ac:dyDescent="0.25">
      <c r="I169" s="49"/>
      <c r="J169" s="50"/>
      <c r="K169" s="50"/>
      <c r="M169" s="32"/>
      <c r="R169" s="61">
        <v>141.31263161662304</v>
      </c>
      <c r="S169" s="58">
        <v>1.4709049444146454E-6</v>
      </c>
      <c r="U169" s="88"/>
      <c r="V169" s="85"/>
      <c r="W169" s="88"/>
      <c r="X169" s="88"/>
      <c r="Y169" s="85"/>
      <c r="Z169" s="85"/>
    </row>
    <row r="170" spans="1:34" x14ac:dyDescent="0.25">
      <c r="I170" s="49"/>
      <c r="J170" s="50"/>
      <c r="K170" s="50"/>
      <c r="M170" s="32"/>
      <c r="R170" s="61">
        <v>142.40373407875273</v>
      </c>
      <c r="S170" s="58">
        <v>1.4709049444146454E-6</v>
      </c>
      <c r="U170" s="88"/>
      <c r="V170" s="85"/>
      <c r="W170" s="88"/>
      <c r="X170" s="88"/>
      <c r="Y170" s="85"/>
      <c r="Z170" s="85"/>
    </row>
    <row r="171" spans="1:34" x14ac:dyDescent="0.25">
      <c r="I171" s="49"/>
      <c r="J171" s="50"/>
      <c r="K171" s="50"/>
      <c r="M171" s="32"/>
      <c r="R171" s="61">
        <v>142.40373407875273</v>
      </c>
      <c r="S171" s="58">
        <v>1.6030046677395911E-6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67"/>
      <c r="M172" s="32"/>
      <c r="N172" s="18"/>
      <c r="O172" s="18"/>
      <c r="P172" s="30"/>
      <c r="Q172" s="66"/>
      <c r="R172" s="63">
        <v>144.58593900301216</v>
      </c>
      <c r="S172" s="62">
        <v>1.6030046677395911E-6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/>
      <c r="J173" s="50"/>
      <c r="K173" s="50"/>
      <c r="M173" s="32"/>
      <c r="R173" s="61">
        <v>144.58593900301216</v>
      </c>
      <c r="S173" s="58">
        <v>1.7684675961779119E-6</v>
      </c>
      <c r="U173" s="88"/>
      <c r="V173" s="85"/>
      <c r="W173" s="88"/>
      <c r="X173" s="88"/>
      <c r="Y173" s="85"/>
      <c r="Z173" s="85"/>
    </row>
    <row r="174" spans="1:34" x14ac:dyDescent="0.25">
      <c r="I174" s="49"/>
      <c r="J174" s="50"/>
      <c r="K174" s="50"/>
      <c r="M174" s="32"/>
      <c r="R174" s="61">
        <v>146.76814392727158</v>
      </c>
      <c r="S174" s="58">
        <v>1.7684675961779119E-6</v>
      </c>
      <c r="U174" s="88"/>
      <c r="V174" s="85"/>
      <c r="W174" s="88"/>
      <c r="X174" s="88"/>
      <c r="Y174" s="85"/>
      <c r="Z174" s="85"/>
    </row>
    <row r="175" spans="1:34" x14ac:dyDescent="0.25">
      <c r="I175" s="49"/>
      <c r="J175" s="50"/>
      <c r="K175" s="50"/>
      <c r="M175" s="32"/>
      <c r="R175" s="61">
        <v>146.76814392727158</v>
      </c>
      <c r="S175" s="58">
        <v>1.9132451864375687E-6</v>
      </c>
      <c r="U175" s="88"/>
      <c r="V175" s="85"/>
      <c r="W175" s="88"/>
      <c r="X175" s="88"/>
      <c r="Y175" s="85"/>
      <c r="Z175" s="85"/>
    </row>
    <row r="176" spans="1:34" x14ac:dyDescent="0.25">
      <c r="I176" s="49"/>
      <c r="J176" s="50"/>
      <c r="K176" s="50"/>
      <c r="M176" s="32"/>
      <c r="R176" s="61">
        <v>148.950348851531</v>
      </c>
      <c r="S176" s="58">
        <v>1.9132451864375687E-6</v>
      </c>
      <c r="U176" s="88"/>
      <c r="V176" s="85"/>
      <c r="W176" s="88"/>
      <c r="X176" s="88"/>
      <c r="Y176" s="85"/>
      <c r="Z176" s="85"/>
    </row>
    <row r="177" spans="9:34" x14ac:dyDescent="0.25">
      <c r="I177" s="49"/>
      <c r="J177" s="50"/>
      <c r="K177" s="50"/>
      <c r="M177" s="33"/>
      <c r="R177" s="61">
        <v>148.950348851531</v>
      </c>
      <c r="S177" s="58">
        <v>2.0320137628318913E-6</v>
      </c>
      <c r="U177" s="88"/>
      <c r="V177" s="85"/>
      <c r="W177" s="88"/>
      <c r="X177" s="88"/>
      <c r="Z177" s="86"/>
    </row>
    <row r="178" spans="9:34" x14ac:dyDescent="0.25">
      <c r="I178" s="49"/>
      <c r="J178" s="50"/>
      <c r="K178" s="50"/>
      <c r="M178" s="33"/>
      <c r="R178" s="61">
        <v>151.13255377579043</v>
      </c>
      <c r="S178" s="58">
        <v>2.0320137628318913E-6</v>
      </c>
      <c r="U178" s="88"/>
      <c r="V178" s="85"/>
      <c r="W178" s="88"/>
      <c r="X178" s="88"/>
      <c r="Z178" s="86"/>
    </row>
    <row r="179" spans="9:34" x14ac:dyDescent="0.25">
      <c r="I179" s="49"/>
      <c r="J179" s="50"/>
      <c r="K179" s="50"/>
      <c r="M179" s="33"/>
      <c r="R179" s="61">
        <v>151.13255377579043</v>
      </c>
      <c r="S179" s="58">
        <v>2.1239565652832429E-6</v>
      </c>
      <c r="U179" s="88"/>
      <c r="V179" s="85"/>
      <c r="W179" s="88"/>
      <c r="X179" s="88"/>
      <c r="Z179" s="86"/>
    </row>
    <row r="180" spans="9:34" x14ac:dyDescent="0.25">
      <c r="I180" s="49"/>
      <c r="J180" s="50"/>
      <c r="K180" s="50"/>
      <c r="M180" s="33"/>
      <c r="R180" s="61">
        <v>153.31475870004985</v>
      </c>
      <c r="S180" s="58">
        <v>2.1239565652832429E-6</v>
      </c>
      <c r="U180" s="88"/>
      <c r="V180" s="85"/>
      <c r="W180" s="88"/>
      <c r="X180" s="88"/>
      <c r="Z180" s="86"/>
    </row>
    <row r="181" spans="9:34" x14ac:dyDescent="0.25">
      <c r="I181" s="49"/>
      <c r="J181" s="50"/>
      <c r="K181" s="50"/>
      <c r="M181" s="33"/>
      <c r="R181" s="61">
        <v>153.31475870004985</v>
      </c>
      <c r="S181" s="58">
        <v>2.1919567571950794E-6</v>
      </c>
      <c r="U181" s="88"/>
      <c r="V181" s="85"/>
      <c r="W181" s="88"/>
      <c r="X181" s="88"/>
      <c r="Z181" s="86"/>
    </row>
    <row r="182" spans="9:34" x14ac:dyDescent="0.25">
      <c r="I182" s="49"/>
      <c r="J182" s="50"/>
      <c r="K182" s="50"/>
      <c r="M182" s="33"/>
      <c r="R182" s="61">
        <v>155.49696362430927</v>
      </c>
      <c r="S182" s="58">
        <v>2.1919567571950794E-6</v>
      </c>
      <c r="U182" s="88"/>
      <c r="V182" s="85"/>
      <c r="W182" s="88"/>
      <c r="X182" s="88"/>
      <c r="Z182" s="86"/>
      <c r="AH182" s="85"/>
    </row>
    <row r="183" spans="9:34" x14ac:dyDescent="0.25">
      <c r="I183" s="49"/>
      <c r="J183" s="50"/>
      <c r="K183" s="50"/>
      <c r="M183" s="33"/>
      <c r="R183" s="61">
        <v>155.49696362430927</v>
      </c>
      <c r="S183" s="58">
        <v>2.2411083581913575E-6</v>
      </c>
      <c r="U183" s="88"/>
      <c r="V183" s="85"/>
      <c r="W183" s="88"/>
      <c r="X183" s="88"/>
      <c r="Z183" s="86"/>
      <c r="AH183" s="85"/>
    </row>
    <row r="184" spans="9:34" x14ac:dyDescent="0.25">
      <c r="I184" s="49"/>
      <c r="J184" s="50"/>
      <c r="K184" s="50"/>
      <c r="M184" s="33"/>
      <c r="R184" s="61">
        <v>157.6791685485687</v>
      </c>
      <c r="S184" s="58">
        <v>2.2411083581913575E-6</v>
      </c>
      <c r="U184" s="88"/>
      <c r="V184" s="85"/>
      <c r="W184" s="88"/>
      <c r="X184" s="88"/>
      <c r="Z184" s="86"/>
      <c r="AH184" s="85"/>
    </row>
    <row r="185" spans="9:34" x14ac:dyDescent="0.25">
      <c r="I185" s="49"/>
      <c r="J185" s="50"/>
      <c r="K185" s="50"/>
      <c r="M185" s="33"/>
      <c r="R185" s="61">
        <v>157.6791685485687</v>
      </c>
      <c r="S185" s="58">
        <v>2.2771618807876642E-6</v>
      </c>
      <c r="U185" s="88"/>
      <c r="V185" s="85"/>
      <c r="W185" s="88"/>
      <c r="X185" s="88"/>
      <c r="Z185" s="86"/>
    </row>
    <row r="186" spans="9:34" x14ac:dyDescent="0.25">
      <c r="I186" s="49"/>
      <c r="J186" s="50"/>
      <c r="K186" s="50"/>
      <c r="M186" s="33"/>
      <c r="R186" s="61">
        <v>159.86137347282812</v>
      </c>
      <c r="S186" s="58">
        <v>2.2771618807876642E-6</v>
      </c>
      <c r="U186" s="88"/>
      <c r="V186" s="85"/>
      <c r="W186" s="88"/>
      <c r="X186" s="88"/>
      <c r="Z186" s="86"/>
    </row>
    <row r="187" spans="9:34" x14ac:dyDescent="0.25">
      <c r="I187" s="49"/>
      <c r="J187" s="50"/>
      <c r="K187" s="50"/>
      <c r="M187" s="33"/>
      <c r="R187" s="61">
        <v>159.86137347282812</v>
      </c>
      <c r="S187" s="58">
        <v>2.3053618111098581E-6</v>
      </c>
      <c r="U187" s="88"/>
      <c r="V187" s="85"/>
      <c r="W187" s="88"/>
      <c r="X187" s="88"/>
      <c r="Z187" s="86"/>
    </row>
    <row r="188" spans="9:34" x14ac:dyDescent="0.25">
      <c r="I188" s="49"/>
      <c r="J188" s="50"/>
      <c r="K188" s="50"/>
      <c r="M188" s="33"/>
      <c r="R188" s="61">
        <v>162.04357839708754</v>
      </c>
      <c r="S188" s="58">
        <v>2.3053618111098581E-6</v>
      </c>
      <c r="U188" s="88"/>
      <c r="V188" s="85"/>
      <c r="W188" s="88"/>
      <c r="X188" s="88"/>
      <c r="Z188" s="86"/>
    </row>
    <row r="189" spans="9:34" x14ac:dyDescent="0.25">
      <c r="I189" s="49"/>
      <c r="J189" s="50"/>
      <c r="K189" s="50"/>
      <c r="M189" s="33"/>
      <c r="R189" s="61">
        <v>162.04357839708754</v>
      </c>
      <c r="S189" s="58">
        <v>2.3298479718071053E-6</v>
      </c>
      <c r="U189" s="88"/>
      <c r="V189" s="85"/>
      <c r="W189" s="88"/>
      <c r="X189" s="88"/>
      <c r="Z189" s="86"/>
    </row>
    <row r="190" spans="9:34" x14ac:dyDescent="0.25">
      <c r="I190" s="49"/>
      <c r="J190" s="50"/>
      <c r="K190" s="50"/>
      <c r="L190" s="70"/>
      <c r="M190" s="33"/>
      <c r="R190" s="61">
        <v>164.22578332134697</v>
      </c>
      <c r="S190" s="58">
        <v>2.3298479718071053E-6</v>
      </c>
      <c r="U190" s="88"/>
      <c r="V190" s="85"/>
      <c r="W190" s="88"/>
      <c r="X190" s="88"/>
      <c r="Z190" s="86"/>
    </row>
    <row r="191" spans="9:34" x14ac:dyDescent="0.25">
      <c r="I191" s="50"/>
      <c r="J191" s="50"/>
      <c r="K191" s="50"/>
      <c r="L191" s="70"/>
      <c r="M191" s="33"/>
      <c r="R191" s="61">
        <v>164.22578332134697</v>
      </c>
      <c r="S191" s="58">
        <v>2.3535467586726149E-6</v>
      </c>
      <c r="U191" s="88"/>
      <c r="V191" s="85"/>
      <c r="W191" s="88"/>
      <c r="X191" s="88"/>
      <c r="Z191" s="86"/>
    </row>
    <row r="192" spans="9:34" x14ac:dyDescent="0.25">
      <c r="I192" s="50"/>
      <c r="J192" s="50"/>
      <c r="K192" s="50"/>
      <c r="L192" s="70"/>
      <c r="M192" s="33"/>
      <c r="R192" s="61">
        <v>166.40798824560639</v>
      </c>
      <c r="S192" s="58">
        <v>2.3535467586726149E-6</v>
      </c>
      <c r="U192" s="88"/>
      <c r="V192" s="85"/>
      <c r="W192" s="88"/>
      <c r="X192" s="88"/>
      <c r="Z192" s="86"/>
    </row>
    <row r="193" spans="9:26" x14ac:dyDescent="0.25">
      <c r="I193" s="50"/>
      <c r="J193" s="50"/>
      <c r="K193" s="50"/>
      <c r="L193" s="70"/>
      <c r="M193" s="33"/>
      <c r="R193" s="61">
        <v>166.40798824560639</v>
      </c>
      <c r="S193" s="58">
        <v>2.3783586800379564E-6</v>
      </c>
      <c r="U193" s="88"/>
      <c r="V193" s="85"/>
      <c r="W193" s="88"/>
      <c r="X193" s="88"/>
      <c r="Z193" s="86"/>
    </row>
    <row r="194" spans="9:26" x14ac:dyDescent="0.25">
      <c r="I194" s="50"/>
      <c r="J194" s="50"/>
      <c r="K194" s="50"/>
      <c r="L194" s="70"/>
      <c r="M194" s="33"/>
      <c r="R194" s="61">
        <v>168.59019316986581</v>
      </c>
      <c r="S194" s="58">
        <v>2.3783586800379564E-6</v>
      </c>
      <c r="U194" s="88"/>
      <c r="V194" s="85"/>
      <c r="W194" s="88"/>
      <c r="X194" s="88"/>
      <c r="Z194" s="86"/>
    </row>
    <row r="195" spans="9:26" x14ac:dyDescent="0.25">
      <c r="I195" s="50"/>
      <c r="J195" s="50"/>
      <c r="K195" s="50"/>
      <c r="L195" s="70"/>
      <c r="M195" s="33"/>
      <c r="R195" s="61">
        <v>168.59019316986581</v>
      </c>
      <c r="S195" s="58">
        <v>2.4054502036974994E-6</v>
      </c>
      <c r="U195" s="88"/>
      <c r="V195" s="85"/>
      <c r="W195" s="88"/>
      <c r="X195" s="88"/>
      <c r="Z195" s="86"/>
    </row>
    <row r="196" spans="9:26" x14ac:dyDescent="0.25">
      <c r="I196" s="50"/>
      <c r="J196" s="50"/>
      <c r="K196" s="50"/>
      <c r="L196" s="70"/>
      <c r="M196" s="33"/>
      <c r="R196" s="61">
        <v>170.77239809412524</v>
      </c>
      <c r="S196" s="58">
        <v>2.4054502036974994E-6</v>
      </c>
      <c r="U196" s="88"/>
      <c r="V196" s="85"/>
      <c r="W196" s="88"/>
      <c r="X196" s="88"/>
      <c r="Z196" s="86"/>
    </row>
    <row r="197" spans="9:26" x14ac:dyDescent="0.25">
      <c r="I197" s="50"/>
      <c r="J197" s="50"/>
      <c r="K197" s="50"/>
      <c r="L197" s="70"/>
      <c r="M197" s="33"/>
      <c r="R197" s="61">
        <v>170.77239809412524</v>
      </c>
      <c r="S197" s="58">
        <v>2.4355240354507916E-6</v>
      </c>
      <c r="U197" s="88"/>
      <c r="V197" s="85"/>
      <c r="W197" s="88"/>
      <c r="X197" s="88"/>
      <c r="Z197" s="86"/>
    </row>
    <row r="198" spans="9:26" x14ac:dyDescent="0.25">
      <c r="I198" s="50"/>
      <c r="J198" s="50"/>
      <c r="K198" s="50"/>
      <c r="L198" s="70"/>
      <c r="M198" s="33"/>
      <c r="R198" s="61">
        <v>172.95460301838466</v>
      </c>
      <c r="S198" s="58">
        <v>2.4355240354507916E-6</v>
      </c>
      <c r="U198" s="88"/>
      <c r="V198" s="85"/>
      <c r="W198" s="88"/>
      <c r="X198" s="88"/>
      <c r="Z198" s="86"/>
    </row>
    <row r="199" spans="9:26" x14ac:dyDescent="0.25">
      <c r="I199" s="50"/>
      <c r="J199" s="50"/>
      <c r="K199" s="50"/>
      <c r="L199" s="70"/>
      <c r="M199" s="33"/>
      <c r="R199" s="61">
        <v>172.95460301838466</v>
      </c>
      <c r="S199" s="58">
        <v>2.4690154042869726E-6</v>
      </c>
      <c r="U199" s="88"/>
      <c r="V199" s="85"/>
      <c r="W199" s="88"/>
      <c r="X199" s="88"/>
      <c r="Z199" s="86"/>
    </row>
    <row r="200" spans="9:26" x14ac:dyDescent="0.25">
      <c r="I200" s="50"/>
      <c r="J200" s="50"/>
      <c r="K200" s="50"/>
      <c r="L200" s="70"/>
      <c r="M200" s="33"/>
      <c r="R200" s="61">
        <v>175.13680794264408</v>
      </c>
      <c r="S200" s="58">
        <v>2.4690154042869726E-6</v>
      </c>
      <c r="U200" s="88"/>
      <c r="V200" s="85"/>
      <c r="W200" s="88"/>
      <c r="X200" s="88"/>
      <c r="Z200" s="86"/>
    </row>
    <row r="201" spans="9:26" x14ac:dyDescent="0.25">
      <c r="I201" s="50"/>
      <c r="J201" s="50"/>
      <c r="K201" s="50"/>
      <c r="L201" s="70"/>
      <c r="M201" s="33"/>
      <c r="R201" s="61">
        <v>175.13680794264408</v>
      </c>
      <c r="S201" s="58">
        <v>2.5062118110839147E-6</v>
      </c>
      <c r="U201" s="88"/>
      <c r="V201" s="85"/>
      <c r="W201" s="88"/>
      <c r="X201" s="88"/>
      <c r="Z201" s="86"/>
    </row>
    <row r="202" spans="9:26" x14ac:dyDescent="0.25">
      <c r="I202" s="50"/>
      <c r="J202" s="50"/>
      <c r="K202" s="50"/>
      <c r="L202" s="70"/>
      <c r="M202" s="33"/>
      <c r="R202" s="61">
        <v>177.31901286690351</v>
      </c>
      <c r="S202" s="58">
        <v>2.5062118110839147E-6</v>
      </c>
      <c r="U202" s="88"/>
      <c r="V202" s="85"/>
      <c r="W202" s="88"/>
      <c r="X202" s="88"/>
      <c r="Z202" s="86"/>
    </row>
    <row r="203" spans="9:26" x14ac:dyDescent="0.25">
      <c r="I203" s="50"/>
      <c r="J203" s="50"/>
      <c r="K203" s="50"/>
      <c r="L203" s="70"/>
      <c r="M203" s="33"/>
      <c r="R203" s="61">
        <v>177.31901286690351</v>
      </c>
      <c r="S203" s="58">
        <v>2.547315489125022E-6</v>
      </c>
      <c r="U203" s="88"/>
      <c r="V203" s="85"/>
      <c r="W203" s="88"/>
      <c r="X203" s="88"/>
      <c r="Z203" s="86"/>
    </row>
    <row r="204" spans="9:26" x14ac:dyDescent="0.25">
      <c r="I204" s="50"/>
      <c r="J204" s="50"/>
      <c r="K204" s="50"/>
      <c r="L204" s="70"/>
      <c r="M204" s="33"/>
      <c r="R204" s="61">
        <v>179.50121779116293</v>
      </c>
      <c r="S204" s="58">
        <v>2.547315489125022E-6</v>
      </c>
      <c r="U204" s="88"/>
      <c r="V204" s="85"/>
      <c r="W204" s="88"/>
      <c r="X204" s="88"/>
      <c r="Z204" s="86"/>
    </row>
    <row r="205" spans="9:26" x14ac:dyDescent="0.25">
      <c r="I205" s="50"/>
      <c r="J205" s="50"/>
      <c r="K205" s="50"/>
      <c r="L205" s="70"/>
      <c r="M205" s="33"/>
      <c r="R205" s="61">
        <v>179.50121779116293</v>
      </c>
      <c r="S205" s="58">
        <v>2.5924706207367805E-6</v>
      </c>
      <c r="U205" s="88"/>
      <c r="V205" s="85"/>
      <c r="W205" s="88"/>
      <c r="X205" s="88"/>
      <c r="Z205" s="86"/>
    </row>
    <row r="206" spans="9:26" x14ac:dyDescent="0.25">
      <c r="I206" s="50"/>
      <c r="J206" s="50"/>
      <c r="K206" s="50"/>
      <c r="L206" s="70"/>
      <c r="M206" s="33"/>
      <c r="R206" s="61">
        <v>181.68342271542235</v>
      </c>
      <c r="S206" s="58">
        <v>2.5924706207367805E-6</v>
      </c>
      <c r="U206" s="88"/>
      <c r="V206" s="85"/>
      <c r="W206" s="88"/>
      <c r="X206" s="88"/>
      <c r="Z206" s="86"/>
    </row>
    <row r="207" spans="9:26" x14ac:dyDescent="0.25">
      <c r="I207" s="50"/>
      <c r="J207" s="50"/>
      <c r="K207" s="50"/>
      <c r="L207" s="70"/>
      <c r="M207" s="33"/>
      <c r="R207" s="61">
        <v>181.68342271542235</v>
      </c>
      <c r="S207" s="58">
        <v>2.6417719872862111E-6</v>
      </c>
      <c r="U207" s="88"/>
      <c r="V207" s="85"/>
      <c r="W207" s="88"/>
      <c r="X207" s="88"/>
      <c r="Z207" s="86"/>
    </row>
    <row r="208" spans="9:26" x14ac:dyDescent="0.25">
      <c r="I208" s="50"/>
      <c r="J208" s="50"/>
      <c r="K208" s="50"/>
      <c r="L208" s="70"/>
      <c r="M208" s="33"/>
      <c r="R208" s="61">
        <v>183.86562763968178</v>
      </c>
      <c r="S208" s="58">
        <v>2.6417719872862111E-6</v>
      </c>
      <c r="U208" s="88"/>
      <c r="V208" s="85"/>
      <c r="W208" s="88"/>
      <c r="X208" s="88"/>
      <c r="Z208" s="86"/>
    </row>
    <row r="209" spans="9:34" x14ac:dyDescent="0.25">
      <c r="I209" s="50"/>
      <c r="J209" s="50"/>
      <c r="K209" s="50"/>
      <c r="L209" s="70"/>
      <c r="M209" s="33"/>
      <c r="R209" s="61">
        <v>183.86562763968178</v>
      </c>
      <c r="S209" s="58">
        <v>2.6952652209887088E-6</v>
      </c>
      <c r="U209" s="88"/>
      <c r="V209" s="85"/>
      <c r="W209" s="88"/>
      <c r="X209" s="88"/>
      <c r="Z209" s="86"/>
    </row>
    <row r="210" spans="9:34" x14ac:dyDescent="0.25">
      <c r="I210" s="50"/>
      <c r="J210" s="50"/>
      <c r="K210" s="50"/>
      <c r="L210" s="70"/>
      <c r="M210" s="18"/>
      <c r="R210" s="61">
        <v>186.0478325639412</v>
      </c>
      <c r="S210" s="58">
        <v>2.6952652209887088E-6</v>
      </c>
      <c r="U210" s="88"/>
      <c r="V210" s="85"/>
      <c r="W210" s="88"/>
      <c r="X210" s="88"/>
      <c r="Y210" s="85"/>
      <c r="Z210" s="88"/>
    </row>
    <row r="211" spans="9:34" x14ac:dyDescent="0.25">
      <c r="I211" s="50"/>
      <c r="J211" s="50"/>
      <c r="K211" s="50"/>
      <c r="L211" s="70"/>
      <c r="M211" s="18"/>
      <c r="R211" s="61">
        <v>186.0478325639412</v>
      </c>
      <c r="S211" s="58">
        <v>2.7529440065830718E-6</v>
      </c>
      <c r="U211" s="88"/>
      <c r="V211" s="85"/>
      <c r="W211" s="88"/>
      <c r="X211" s="88"/>
      <c r="Y211" s="85"/>
      <c r="Z211" s="88"/>
    </row>
    <row r="212" spans="9:34" x14ac:dyDescent="0.25">
      <c r="I212" s="50"/>
      <c r="J212" s="50"/>
      <c r="K212" s="50"/>
      <c r="L212" s="70"/>
      <c r="M212" s="18"/>
      <c r="R212" s="61">
        <v>188.23003748820062</v>
      </c>
      <c r="S212" s="58">
        <v>2.7529440065830718E-6</v>
      </c>
      <c r="U212" s="88"/>
      <c r="V212" s="85"/>
      <c r="W212" s="88"/>
      <c r="X212" s="88"/>
      <c r="Y212" s="85"/>
      <c r="Z212" s="88"/>
    </row>
    <row r="213" spans="9:34" x14ac:dyDescent="0.25">
      <c r="I213" s="50"/>
      <c r="J213" s="50"/>
      <c r="K213" s="50"/>
      <c r="L213" s="70"/>
      <c r="M213" s="18"/>
      <c r="R213" s="61">
        <v>188.23003748820062</v>
      </c>
      <c r="S213" s="58">
        <v>2.8147467666311462E-6</v>
      </c>
      <c r="U213" s="88"/>
      <c r="V213" s="85"/>
      <c r="W213" s="88"/>
      <c r="X213" s="88"/>
      <c r="Y213" s="85"/>
      <c r="Z213" s="88"/>
    </row>
    <row r="214" spans="9:34" x14ac:dyDescent="0.25">
      <c r="I214" s="50"/>
      <c r="J214" s="50"/>
      <c r="K214" s="50"/>
      <c r="L214" s="70"/>
      <c r="M214" s="18"/>
      <c r="R214" s="61">
        <v>190.41224241246005</v>
      </c>
      <c r="S214" s="58">
        <v>2.8147467666311462E-6</v>
      </c>
      <c r="U214" s="88"/>
      <c r="V214" s="85"/>
      <c r="W214" s="88"/>
      <c r="X214" s="88"/>
      <c r="Y214" s="85"/>
      <c r="Z214" s="88"/>
    </row>
    <row r="215" spans="9:34" x14ac:dyDescent="0.25">
      <c r="I215" s="50"/>
      <c r="J215" s="50"/>
      <c r="K215" s="50"/>
      <c r="L215" s="70"/>
      <c r="M215" s="18"/>
      <c r="R215" s="61">
        <v>190.41224241246005</v>
      </c>
      <c r="S215" s="58">
        <v>2.8805539655557796E-6</v>
      </c>
      <c r="U215" s="88"/>
      <c r="V215" s="85"/>
      <c r="W215" s="88"/>
      <c r="X215" s="88"/>
      <c r="Y215" s="85"/>
      <c r="Z215" s="88"/>
    </row>
    <row r="216" spans="9:34" x14ac:dyDescent="0.25">
      <c r="I216" s="50"/>
      <c r="J216" s="50"/>
      <c r="K216" s="50"/>
      <c r="L216" s="70"/>
      <c r="M216" s="18"/>
      <c r="R216" s="61">
        <v>192.59444733671947</v>
      </c>
      <c r="S216" s="58">
        <v>2.8805539655557796E-6</v>
      </c>
      <c r="U216" s="88"/>
      <c r="V216" s="85"/>
      <c r="W216" s="88"/>
      <c r="X216" s="88"/>
      <c r="Y216" s="85"/>
      <c r="Z216" s="88"/>
    </row>
    <row r="217" spans="9:34" x14ac:dyDescent="0.25">
      <c r="I217" s="50"/>
      <c r="J217" s="50"/>
      <c r="K217" s="50"/>
      <c r="L217" s="70"/>
      <c r="M217" s="18"/>
      <c r="R217" s="61">
        <v>192.59444733671947</v>
      </c>
      <c r="S217" s="58">
        <v>2.9501865468661812E-6</v>
      </c>
      <c r="U217" s="88"/>
      <c r="V217" s="85"/>
      <c r="W217" s="88"/>
      <c r="X217" s="88"/>
      <c r="Y217" s="85"/>
      <c r="Z217" s="88"/>
    </row>
    <row r="218" spans="9:34" x14ac:dyDescent="0.25">
      <c r="I218" s="50"/>
      <c r="J218" s="50"/>
      <c r="K218" s="50"/>
      <c r="L218" s="70"/>
      <c r="M218" s="18"/>
      <c r="R218" s="61">
        <v>194.77665226097889</v>
      </c>
      <c r="S218" s="58">
        <v>2.9501865468661812E-6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/>
      <c r="J219" s="50"/>
      <c r="K219" s="50"/>
      <c r="L219" s="70"/>
      <c r="M219" s="18"/>
      <c r="R219" s="61">
        <v>194.77665226097889</v>
      </c>
      <c r="S219" s="58">
        <v>3.0234057547512243E-6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/>
      <c r="J220" s="50"/>
      <c r="K220" s="50"/>
      <c r="L220" s="70"/>
      <c r="M220" s="18"/>
      <c r="R220" s="61">
        <v>196.95885718523832</v>
      </c>
      <c r="S220" s="58">
        <v>3.0234057547512243E-6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/>
      <c r="J221" s="50"/>
      <c r="K221" s="50"/>
      <c r="L221" s="70"/>
      <c r="M221" s="18"/>
      <c r="R221" s="61">
        <v>196.95885718523832</v>
      </c>
      <c r="S221" s="58">
        <v>3.099914468293342E-6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/>
      <c r="J222" s="50"/>
      <c r="K222" s="50"/>
      <c r="L222" s="70"/>
      <c r="M222" s="18"/>
      <c r="R222" s="61">
        <v>199.14106210949774</v>
      </c>
      <c r="S222" s="58">
        <v>3.099914468293342E-6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/>
      <c r="J223" s="50"/>
      <c r="K223" s="50"/>
      <c r="L223" s="70"/>
      <c r="M223" s="18"/>
      <c r="R223" s="61">
        <v>199.14106210949774</v>
      </c>
      <c r="S223" s="58">
        <v>3.1793601004096905E-6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/>
      <c r="J224" s="50"/>
      <c r="K224" s="50"/>
      <c r="L224" s="70"/>
      <c r="M224" s="18"/>
      <c r="R224" s="61">
        <v>201.32326703375716</v>
      </c>
      <c r="S224" s="58">
        <v>3.1793601004096905E-6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/>
      <c r="J225" s="50"/>
      <c r="K225" s="50"/>
      <c r="L225" s="70"/>
      <c r="M225" s="18"/>
      <c r="R225" s="61">
        <v>201.32326703375716</v>
      </c>
      <c r="S225" s="58">
        <v>3.261339050307509E-6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/>
      <c r="J226" s="50"/>
      <c r="K226" s="50"/>
      <c r="L226" s="70"/>
      <c r="M226" s="18"/>
      <c r="R226" s="61">
        <v>203.50547195801659</v>
      </c>
      <c r="S226" s="58">
        <v>3.261339050307509E-6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/>
      <c r="J227" s="50"/>
      <c r="K227" s="50"/>
      <c r="L227" s="70"/>
      <c r="M227" s="18"/>
      <c r="R227" s="61">
        <v>203.50547195801659</v>
      </c>
      <c r="S227" s="58">
        <v>3.3454026382433922E-6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/>
      <c r="J228" s="50"/>
      <c r="K228" s="50"/>
      <c r="L228" s="70"/>
      <c r="M228" s="18"/>
      <c r="R228" s="61">
        <v>205.68767688227601</v>
      </c>
      <c r="S228" s="58">
        <v>3.3454026382433922E-6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/>
      <c r="J229" s="50"/>
      <c r="K229" s="50"/>
      <c r="L229" s="70"/>
      <c r="M229" s="18"/>
      <c r="R229" s="61">
        <v>205.68767688227601</v>
      </c>
      <c r="S229" s="58">
        <v>3.4310643939199862E-6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/>
      <c r="J230" s="50"/>
      <c r="K230" s="50"/>
      <c r="L230" s="70"/>
      <c r="M230" s="27"/>
      <c r="R230" s="61">
        <v>207.86988180653543</v>
      </c>
      <c r="S230" s="58">
        <v>3.4310643939199862E-6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/>
      <c r="J231" s="50"/>
      <c r="K231" s="50"/>
      <c r="L231" s="70"/>
      <c r="M231" s="27"/>
      <c r="R231" s="61">
        <v>207.86988180653543</v>
      </c>
      <c r="S231" s="58">
        <v>3.517808516971421E-6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/>
      <c r="J232" s="50"/>
      <c r="K232" s="50"/>
      <c r="L232" s="70"/>
      <c r="M232" s="27"/>
      <c r="R232" s="61">
        <v>210.05208673079485</v>
      </c>
      <c r="S232" s="58">
        <v>3.517808516971421E-6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/>
      <c r="J233" s="50"/>
      <c r="K233" s="50"/>
      <c r="L233" s="70"/>
      <c r="M233" s="27"/>
      <c r="R233" s="61">
        <v>210.05208673079485</v>
      </c>
      <c r="S233" s="58">
        <v>3.5832551082468435E-6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/>
      <c r="J234" s="50"/>
      <c r="K234" s="50"/>
      <c r="L234" s="70"/>
      <c r="M234" s="27"/>
      <c r="R234" s="61">
        <v>211.14318919292455</v>
      </c>
      <c r="S234" s="58">
        <v>3.5832551082468435E-6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/>
      <c r="J235" s="50"/>
      <c r="K235" s="50"/>
      <c r="L235" s="70"/>
      <c r="M235" s="27"/>
      <c r="R235" s="61">
        <v>211.14318919292455</v>
      </c>
      <c r="S235" s="58">
        <v>3.6538254000930409E-6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/>
      <c r="J236" s="50"/>
      <c r="K236" s="50"/>
      <c r="L236" s="70"/>
      <c r="M236" s="27"/>
      <c r="R236" s="61">
        <v>213.58244555388384</v>
      </c>
      <c r="S236" s="58">
        <v>3.6538254000930409E-6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/>
      <c r="J237" s="50"/>
      <c r="K237" s="50"/>
      <c r="L237" s="70"/>
      <c r="M237" s="27"/>
      <c r="R237" s="61">
        <v>213.58244555388384</v>
      </c>
      <c r="S237" s="58">
        <v>3.7512768122485785E-6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/>
      <c r="J238" s="50"/>
      <c r="K238" s="50"/>
      <c r="L238" s="70"/>
      <c r="M238" s="27"/>
      <c r="R238" s="61">
        <v>216.04105554192961</v>
      </c>
      <c r="S238" s="58">
        <v>3.7512768122485785E-6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/>
      <c r="J239" s="50"/>
      <c r="K239" s="50"/>
      <c r="L239" s="70"/>
      <c r="M239" s="27"/>
      <c r="R239" s="61">
        <v>216.04105554192961</v>
      </c>
      <c r="S239" s="58">
        <v>3.8487239376192675E-6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/>
      <c r="J240" s="50"/>
      <c r="K240" s="50"/>
      <c r="L240" s="70"/>
      <c r="M240" s="27"/>
      <c r="R240" s="61">
        <v>218.53931411059801</v>
      </c>
      <c r="S240" s="58">
        <v>3.8487239376192675E-6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/>
      <c r="J241" s="50"/>
      <c r="K241" s="50"/>
      <c r="L241" s="70"/>
      <c r="M241" s="27"/>
      <c r="R241" s="61">
        <v>218.53931411059801</v>
      </c>
      <c r="S241" s="58">
        <v>3.9461536560321585E-6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/>
      <c r="J242" s="50"/>
      <c r="K242" s="50"/>
      <c r="L242" s="70"/>
      <c r="M242" s="27"/>
      <c r="R242" s="61">
        <v>221.09951684977023</v>
      </c>
      <c r="S242" s="58">
        <v>3.9461536560321585E-6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/>
      <c r="J243" s="50"/>
      <c r="K243" s="50"/>
      <c r="L243" s="70"/>
      <c r="M243" s="27"/>
      <c r="R243" s="61">
        <v>221.09951684977023</v>
      </c>
      <c r="S243" s="58">
        <v>4.0435353249591083E-6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/>
      <c r="J244" s="50"/>
      <c r="K244" s="50"/>
      <c r="L244" s="70"/>
      <c r="M244" s="27"/>
      <c r="R244" s="61">
        <v>223.74728399229409</v>
      </c>
      <c r="S244" s="58">
        <v>4.0435353249591083E-6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/>
      <c r="J245" s="50"/>
      <c r="K245" s="50"/>
      <c r="L245" s="70"/>
      <c r="M245" s="27"/>
      <c r="R245" s="61">
        <v>223.74728399229409</v>
      </c>
      <c r="S245" s="58">
        <v>4.1408107559122515E-6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/>
      <c r="J246" s="50"/>
      <c r="K246" s="50"/>
      <c r="L246" s="70"/>
      <c r="M246" s="27"/>
      <c r="R246" s="61">
        <v>226.51336512019722</v>
      </c>
      <c r="S246" s="58">
        <v>4.1408107559122515E-6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/>
      <c r="J247" s="50"/>
      <c r="K247" s="50"/>
      <c r="M247" s="27"/>
      <c r="R247" s="61">
        <v>226.51336512019722</v>
      </c>
      <c r="S247" s="58">
        <v>4.2378800884938188E-6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/>
      <c r="J248" s="50"/>
      <c r="K248" s="50"/>
      <c r="M248" s="27"/>
      <c r="R248" s="61">
        <v>229.43628169436721</v>
      </c>
      <c r="S248" s="58">
        <v>4.2378800884938188E-6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/>
      <c r="J249" s="50"/>
      <c r="K249" s="50"/>
      <c r="M249" s="27"/>
      <c r="R249" s="61">
        <v>229.43628169436721</v>
      </c>
      <c r="S249" s="58">
        <v>4.334580924753046E-6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/>
      <c r="J250" s="50"/>
      <c r="K250" s="50"/>
      <c r="M250" s="27"/>
      <c r="R250" s="61">
        <v>232.56645072433372</v>
      </c>
      <c r="S250" s="58">
        <v>4.334580924753046E-6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/>
      <c r="J251" s="50"/>
      <c r="K251" s="50"/>
      <c r="M251" s="27"/>
      <c r="R251" s="61">
        <v>232.56645072433372</v>
      </c>
      <c r="S251" s="58">
        <v>4.4306562142041912E-6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/>
      <c r="J252" s="50"/>
      <c r="K252" s="50"/>
      <c r="M252" s="27"/>
      <c r="R252" s="61">
        <v>235.97304159519879</v>
      </c>
      <c r="S252" s="58">
        <v>4.4306562142041912E-6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/>
      <c r="J253" s="50"/>
      <c r="K253" s="50"/>
      <c r="M253" s="27"/>
      <c r="R253" s="61">
        <v>235.97304159519879</v>
      </c>
      <c r="S253" s="58">
        <v>4.5257027704354997E-6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/>
      <c r="J254" s="50"/>
      <c r="K254" s="50"/>
      <c r="M254" s="27"/>
      <c r="R254" s="61">
        <v>239.7562158625945</v>
      </c>
      <c r="S254" s="58">
        <v>4.5257027704354997E-6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/>
      <c r="J255" s="50"/>
      <c r="K255" s="50"/>
      <c r="M255" s="27"/>
      <c r="R255" s="61">
        <v>239.7562158625945</v>
      </c>
      <c r="S255" s="58">
        <v>4.6190849522898022E-6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/>
      <c r="J256" s="50"/>
      <c r="K256" s="50"/>
      <c r="M256" s="27"/>
      <c r="R256" s="61">
        <v>244.07096271219595</v>
      </c>
      <c r="S256" s="58">
        <v>4.6190849522898022E-6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/>
      <c r="J257" s="50"/>
      <c r="K257" s="50"/>
      <c r="M257" s="27"/>
      <c r="R257" s="61">
        <v>244.07096271219595</v>
      </c>
      <c r="S257" s="58">
        <v>4.7097820174091505E-6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/>
      <c r="J258" s="50"/>
      <c r="K258" s="50"/>
      <c r="M258" s="27"/>
      <c r="R258" s="61">
        <v>249.17920824553477</v>
      </c>
      <c r="S258" s="58">
        <v>4.7097820174091505E-6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/>
      <c r="J259" s="50"/>
      <c r="K259" s="50"/>
      <c r="M259" s="27"/>
      <c r="R259" s="61">
        <v>249.17920824553477</v>
      </c>
      <c r="S259" s="58">
        <v>4.7960995409882631E-6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/>
      <c r="J260" s="50"/>
      <c r="K260" s="50"/>
      <c r="M260" s="27"/>
      <c r="R260" s="61">
        <v>255.58457187885747</v>
      </c>
      <c r="S260" s="58">
        <v>4.7960995409882631E-6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/>
      <c r="J261" s="50"/>
      <c r="K261" s="50"/>
      <c r="M261" s="27"/>
      <c r="R261" s="61">
        <v>255.58457187885747</v>
      </c>
      <c r="S261" s="58">
        <v>4.8750740909283879E-6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/>
      <c r="J262" s="50"/>
      <c r="K262" s="50"/>
      <c r="M262" s="27"/>
      <c r="R262" s="61">
        <v>264.49302195560199</v>
      </c>
      <c r="S262" s="58">
        <v>4.8750740909283879E-6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/>
      <c r="J263" s="50"/>
      <c r="K263" s="50"/>
      <c r="M263" s="27"/>
      <c r="R263" s="61">
        <v>264.49302195560199</v>
      </c>
      <c r="S263" s="58">
        <v>4.9410924552340617E-6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/>
      <c r="J264" s="50"/>
      <c r="K264" s="50"/>
      <c r="M264" s="27"/>
      <c r="R264" s="61">
        <v>280.79903642731483</v>
      </c>
      <c r="S264" s="58">
        <v>4.9410924552340617E-6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/>
      <c r="J265" s="50"/>
      <c r="K265" s="50"/>
      <c r="M265" s="27"/>
      <c r="R265" s="61">
        <v>280.79903642731483</v>
      </c>
      <c r="S265" s="58">
        <v>4.9822414305877503E-6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/>
      <c r="J266" s="50"/>
      <c r="K266" s="50"/>
      <c r="M266" s="27"/>
      <c r="R266" s="61">
        <v>302.81652480003601</v>
      </c>
      <c r="S266" s="58">
        <v>4.9822414305877503E-6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/>
      <c r="J267" s="50"/>
      <c r="K267" s="50"/>
      <c r="M267" s="34"/>
      <c r="R267" s="61">
        <v>302.81652480003601</v>
      </c>
      <c r="S267" s="58">
        <v>4.9869309523443749E-6</v>
      </c>
      <c r="U267" s="88"/>
      <c r="V267" s="85"/>
      <c r="W267" s="88"/>
      <c r="X267" s="88"/>
      <c r="Z267" s="93"/>
      <c r="AH267" s="85"/>
    </row>
    <row r="268" spans="9:34" x14ac:dyDescent="0.25">
      <c r="I268" s="50"/>
      <c r="J268" s="50"/>
      <c r="K268" s="50"/>
      <c r="M268" s="34"/>
      <c r="R268" s="61">
        <v>1061.9980728557539</v>
      </c>
      <c r="S268" s="58">
        <v>4.9869309523443749E-6</v>
      </c>
      <c r="U268" s="88"/>
      <c r="V268" s="85"/>
      <c r="W268" s="88"/>
      <c r="X268" s="88"/>
      <c r="Z268" s="93"/>
      <c r="AH268" s="85"/>
    </row>
    <row r="269" spans="9:34" x14ac:dyDescent="0.25">
      <c r="I269" s="50"/>
      <c r="J269" s="50"/>
      <c r="K269" s="50"/>
      <c r="M269" s="33"/>
      <c r="R269" s="61">
        <v>1061.9980728557539</v>
      </c>
      <c r="S269" s="58">
        <v>4.9892269073730205E-6</v>
      </c>
      <c r="U269" s="88"/>
      <c r="V269" s="85"/>
      <c r="W269" s="88"/>
      <c r="X269" s="88"/>
      <c r="Z269" s="86"/>
      <c r="AH269" s="85"/>
    </row>
    <row r="270" spans="9:34" x14ac:dyDescent="0.25">
      <c r="I270" s="50"/>
      <c r="J270" s="50"/>
      <c r="K270" s="50"/>
      <c r="M270" s="34"/>
      <c r="R270" s="61">
        <v>1084.4391437829977</v>
      </c>
      <c r="S270" s="58">
        <v>4.9892269073730205E-6</v>
      </c>
      <c r="U270" s="88"/>
      <c r="V270" s="85"/>
      <c r="W270" s="88"/>
      <c r="X270" s="88"/>
      <c r="Z270" s="93"/>
      <c r="AH270" s="85"/>
    </row>
    <row r="271" spans="9:34" x14ac:dyDescent="0.25">
      <c r="I271" s="50"/>
      <c r="J271" s="50"/>
      <c r="K271" s="50"/>
      <c r="M271" s="35"/>
      <c r="R271" s="61">
        <v>1084.4391437829977</v>
      </c>
      <c r="S271" s="58">
        <v>5.0093731401425923E-6</v>
      </c>
      <c r="U271" s="88"/>
      <c r="V271" s="85"/>
      <c r="W271" s="88"/>
      <c r="X271" s="88"/>
      <c r="Z271" s="94"/>
      <c r="AH271" s="85"/>
    </row>
    <row r="272" spans="9:34" x14ac:dyDescent="0.25">
      <c r="I272" s="50"/>
      <c r="J272" s="50"/>
      <c r="K272" s="50"/>
      <c r="M272" s="34"/>
      <c r="R272" s="61">
        <v>1101.0588608508963</v>
      </c>
      <c r="S272" s="58">
        <v>5.0093731401425923E-6</v>
      </c>
      <c r="U272" s="88"/>
      <c r="V272" s="85"/>
      <c r="W272" s="88"/>
      <c r="X272" s="88"/>
      <c r="Z272" s="93"/>
      <c r="AH272" s="85"/>
    </row>
    <row r="273" spans="9:34" x14ac:dyDescent="0.25">
      <c r="I273" s="50"/>
      <c r="J273" s="50"/>
      <c r="K273" s="50"/>
      <c r="M273" s="33"/>
      <c r="R273" s="61">
        <v>1101.0588608508963</v>
      </c>
      <c r="S273" s="58">
        <v>5.0416952410682306E-6</v>
      </c>
      <c r="U273" s="88"/>
      <c r="V273" s="85"/>
      <c r="W273" s="88"/>
      <c r="X273" s="88"/>
      <c r="Z273" s="86"/>
      <c r="AH273" s="85"/>
    </row>
    <row r="274" spans="9:34" x14ac:dyDescent="0.25">
      <c r="I274" s="50"/>
      <c r="J274" s="50"/>
      <c r="K274" s="50"/>
      <c r="M274" s="34"/>
      <c r="R274" s="61">
        <v>1110.1386957821012</v>
      </c>
      <c r="S274" s="58">
        <v>5.0416952410682306E-6</v>
      </c>
      <c r="U274" s="88"/>
      <c r="V274" s="85"/>
      <c r="W274" s="88"/>
      <c r="X274" s="88"/>
      <c r="Z274" s="93"/>
      <c r="AH274" s="85"/>
    </row>
    <row r="275" spans="9:34" x14ac:dyDescent="0.25">
      <c r="I275" s="50"/>
      <c r="J275" s="50"/>
      <c r="K275" s="50"/>
      <c r="M275" s="34"/>
      <c r="R275" s="61">
        <v>1110.1386957821012</v>
      </c>
      <c r="S275" s="58">
        <v>5.0803605942705987E-6</v>
      </c>
      <c r="U275" s="88"/>
      <c r="V275" s="85"/>
      <c r="W275" s="88"/>
      <c r="X275" s="88"/>
      <c r="Z275" s="93"/>
    </row>
    <row r="276" spans="9:34" x14ac:dyDescent="0.25">
      <c r="I276" s="50"/>
      <c r="J276" s="50"/>
      <c r="K276" s="50"/>
      <c r="M276" s="33"/>
      <c r="R276" s="61">
        <v>1116.6672887431528</v>
      </c>
      <c r="S276" s="58">
        <v>5.0803605942705987E-6</v>
      </c>
      <c r="U276" s="88"/>
      <c r="V276" s="85"/>
      <c r="W276" s="88"/>
      <c r="X276" s="88"/>
      <c r="Z276" s="86"/>
    </row>
    <row r="277" spans="9:34" x14ac:dyDescent="0.25">
      <c r="I277" s="50"/>
      <c r="J277" s="50"/>
      <c r="K277" s="50"/>
      <c r="M277" s="34"/>
      <c r="R277" s="61">
        <v>1116.6672887431528</v>
      </c>
      <c r="S277" s="58">
        <v>5.1226210128392448E-6</v>
      </c>
      <c r="U277" s="88"/>
      <c r="V277" s="85"/>
      <c r="W277" s="88"/>
      <c r="X277" s="88"/>
      <c r="Z277" s="93"/>
    </row>
    <row r="278" spans="9:34" x14ac:dyDescent="0.25">
      <c r="I278" s="49"/>
      <c r="J278" s="49"/>
      <c r="K278" s="49"/>
      <c r="M278" s="34"/>
      <c r="R278" s="61">
        <v>1121.8738090504128</v>
      </c>
      <c r="S278" s="58">
        <v>5.1226210128392448E-6</v>
      </c>
      <c r="U278" s="88"/>
      <c r="V278" s="85"/>
      <c r="W278" s="88"/>
      <c r="X278" s="88"/>
      <c r="Z278" s="93"/>
    </row>
    <row r="279" spans="9:34" x14ac:dyDescent="0.25">
      <c r="I279" s="49"/>
      <c r="J279" s="49"/>
      <c r="K279" s="49"/>
      <c r="M279" s="35"/>
      <c r="R279" s="61">
        <v>1121.8738090504128</v>
      </c>
      <c r="S279" s="58">
        <v>5.1670256224244412E-6</v>
      </c>
      <c r="U279" s="88"/>
      <c r="V279" s="85"/>
      <c r="W279" s="88"/>
      <c r="X279" s="88"/>
      <c r="Z279" s="94"/>
    </row>
    <row r="280" spans="9:34" x14ac:dyDescent="0.25">
      <c r="I280" s="49"/>
      <c r="J280" s="49"/>
      <c r="K280" s="49"/>
      <c r="M280" s="33"/>
      <c r="R280" s="61">
        <v>1126.2715649817828</v>
      </c>
      <c r="S280" s="58">
        <v>5.1670256224244412E-6</v>
      </c>
      <c r="U280" s="88"/>
      <c r="V280" s="85"/>
      <c r="W280" s="88"/>
      <c r="X280" s="88"/>
      <c r="Z280" s="86"/>
    </row>
    <row r="281" spans="9:34" x14ac:dyDescent="0.25">
      <c r="I281" s="49"/>
      <c r="J281" s="49"/>
      <c r="K281" s="49"/>
      <c r="M281" s="34"/>
      <c r="R281" s="61">
        <v>1126.2715649817828</v>
      </c>
      <c r="S281" s="58">
        <v>5.2127448452239615E-6</v>
      </c>
      <c r="U281" s="88"/>
      <c r="V281" s="85"/>
      <c r="W281" s="88"/>
      <c r="X281" s="88"/>
      <c r="Z281" s="93"/>
    </row>
    <row r="282" spans="9:34" x14ac:dyDescent="0.25">
      <c r="I282" s="49"/>
      <c r="J282" s="49"/>
      <c r="K282" s="49"/>
      <c r="M282" s="34"/>
      <c r="R282" s="61">
        <v>1130.1275216934455</v>
      </c>
      <c r="S282" s="58">
        <v>5.2127448452239615E-6</v>
      </c>
      <c r="U282" s="88"/>
      <c r="V282" s="85"/>
      <c r="W282" s="88"/>
      <c r="X282" s="88"/>
      <c r="Z282" s="93"/>
    </row>
    <row r="283" spans="9:34" x14ac:dyDescent="0.25">
      <c r="I283" s="49"/>
      <c r="J283" s="49"/>
      <c r="K283" s="49"/>
      <c r="M283" s="33"/>
      <c r="R283" s="61">
        <v>1130.1275216934455</v>
      </c>
      <c r="S283" s="58">
        <v>5.2592789333591711E-6</v>
      </c>
      <c r="U283" s="88"/>
      <c r="V283" s="85"/>
      <c r="W283" s="88"/>
      <c r="X283" s="88"/>
      <c r="Z283" s="86"/>
    </row>
    <row r="284" spans="9:34" x14ac:dyDescent="0.25">
      <c r="I284" s="49"/>
      <c r="J284" s="49"/>
      <c r="K284" s="49"/>
      <c r="M284" s="34"/>
      <c r="R284" s="61">
        <v>1133.5996501242205</v>
      </c>
      <c r="S284" s="58">
        <v>5.2592789333591711E-6</v>
      </c>
      <c r="U284" s="88"/>
      <c r="V284" s="85"/>
      <c r="W284" s="88"/>
      <c r="X284" s="88"/>
      <c r="Z284" s="93"/>
    </row>
    <row r="285" spans="9:34" x14ac:dyDescent="0.25">
      <c r="I285" s="49"/>
      <c r="J285" s="49"/>
      <c r="K285" s="49"/>
      <c r="M285" s="34"/>
      <c r="R285" s="61">
        <v>1133.5996501242205</v>
      </c>
      <c r="S285" s="58">
        <v>5.3063166816396583E-6</v>
      </c>
      <c r="U285" s="88"/>
      <c r="V285" s="85"/>
      <c r="W285" s="88"/>
      <c r="X285" s="88"/>
      <c r="Z285" s="93"/>
    </row>
    <row r="286" spans="9:34" x14ac:dyDescent="0.25">
      <c r="I286" s="49"/>
      <c r="J286" s="49"/>
      <c r="K286" s="49"/>
      <c r="M286" s="34"/>
      <c r="R286" s="61">
        <v>1136.790038783754</v>
      </c>
      <c r="S286" s="58">
        <v>5.3063166816396583E-6</v>
      </c>
      <c r="U286" s="88"/>
      <c r="V286" s="85"/>
      <c r="W286" s="88"/>
      <c r="X286" s="88"/>
      <c r="Z286" s="93"/>
    </row>
    <row r="287" spans="9:34" x14ac:dyDescent="0.25">
      <c r="I287" s="49"/>
      <c r="J287" s="49"/>
      <c r="K287" s="49"/>
      <c r="M287" s="33"/>
      <c r="R287" s="61">
        <v>1136.790038783754</v>
      </c>
      <c r="S287" s="58">
        <v>5.3536606929922028E-6</v>
      </c>
      <c r="U287" s="88"/>
      <c r="V287" s="85"/>
      <c r="W287" s="88"/>
      <c r="X287" s="88"/>
      <c r="Z287" s="86"/>
    </row>
    <row r="288" spans="9:34" x14ac:dyDescent="0.25">
      <c r="I288" s="49"/>
      <c r="J288" s="49"/>
      <c r="K288" s="49"/>
      <c r="M288" s="35"/>
      <c r="R288" s="61">
        <v>1139.7691877695499</v>
      </c>
      <c r="S288" s="58">
        <v>5.3536606929922028E-6</v>
      </c>
      <c r="U288" s="88"/>
      <c r="V288" s="85"/>
      <c r="W288" s="88"/>
      <c r="X288" s="88"/>
      <c r="Z288" s="94"/>
    </row>
    <row r="289" spans="9:26" x14ac:dyDescent="0.25">
      <c r="I289" s="49"/>
      <c r="J289" s="49"/>
      <c r="K289" s="49"/>
      <c r="M289" s="34"/>
      <c r="R289" s="61">
        <v>1139.7691877695499</v>
      </c>
      <c r="S289" s="58">
        <v>5.4011851174077898E-6</v>
      </c>
      <c r="U289" s="88"/>
      <c r="V289" s="85"/>
      <c r="W289" s="88"/>
      <c r="X289" s="88"/>
      <c r="Z289" s="93"/>
    </row>
    <row r="290" spans="9:26" x14ac:dyDescent="0.25">
      <c r="I290" s="49"/>
      <c r="J290" s="49"/>
      <c r="K290" s="49"/>
      <c r="M290" s="34"/>
      <c r="R290" s="61">
        <v>1142.588484036725</v>
      </c>
      <c r="S290" s="58">
        <v>5.4011851174077898E-6</v>
      </c>
      <c r="U290" s="88"/>
      <c r="V290" s="85"/>
      <c r="W290" s="88"/>
      <c r="X290" s="88"/>
      <c r="Z290" s="93"/>
    </row>
    <row r="291" spans="9:26" x14ac:dyDescent="0.25">
      <c r="I291" s="49"/>
      <c r="J291" s="49"/>
      <c r="K291" s="49"/>
      <c r="M291" s="33"/>
      <c r="R291" s="61">
        <v>1142.588484036725</v>
      </c>
      <c r="S291" s="58">
        <v>5.4488104460556579E-6</v>
      </c>
      <c r="U291" s="88"/>
      <c r="V291" s="85"/>
      <c r="W291" s="88"/>
      <c r="X291" s="88"/>
      <c r="Z291" s="86"/>
    </row>
    <row r="292" spans="9:26" x14ac:dyDescent="0.25">
      <c r="I292" s="49"/>
      <c r="J292" s="49"/>
      <c r="K292" s="49"/>
      <c r="M292" s="34"/>
      <c r="R292" s="61">
        <v>1145.2871901397255</v>
      </c>
      <c r="S292" s="58">
        <v>5.4488104460556579E-6</v>
      </c>
      <c r="U292" s="88"/>
      <c r="V292" s="85"/>
      <c r="W292" s="88"/>
      <c r="X292" s="88"/>
      <c r="Z292" s="93"/>
    </row>
    <row r="293" spans="9:26" x14ac:dyDescent="0.25">
      <c r="I293" s="49"/>
      <c r="J293" s="49"/>
      <c r="K293" s="49"/>
      <c r="M293" s="34"/>
      <c r="R293" s="61">
        <v>1145.2871901397255</v>
      </c>
      <c r="S293" s="58">
        <v>5.4964877880266002E-6</v>
      </c>
      <c r="U293" s="88"/>
      <c r="V293" s="85"/>
      <c r="W293" s="88"/>
      <c r="X293" s="88"/>
      <c r="Z293" s="93"/>
    </row>
    <row r="294" spans="9:26" x14ac:dyDescent="0.25">
      <c r="I294" s="49"/>
      <c r="J294" s="49"/>
      <c r="K294" s="49"/>
      <c r="M294" s="33"/>
      <c r="R294" s="61">
        <v>1147.8966472351619</v>
      </c>
      <c r="S294" s="58">
        <v>5.4964877880266002E-6</v>
      </c>
      <c r="U294" s="88"/>
      <c r="V294" s="85"/>
      <c r="W294" s="88"/>
      <c r="X294" s="88"/>
      <c r="Z294" s="86"/>
    </row>
    <row r="295" spans="9:26" x14ac:dyDescent="0.25">
      <c r="I295" s="49"/>
      <c r="J295" s="49"/>
      <c r="K295" s="49"/>
      <c r="M295" s="34"/>
      <c r="R295" s="61">
        <v>1147.8966472351619</v>
      </c>
      <c r="S295" s="58">
        <v>5.5441886546690543E-6</v>
      </c>
      <c r="U295" s="88"/>
      <c r="V295" s="85"/>
      <c r="W295" s="88"/>
      <c r="X295" s="88"/>
      <c r="Z295" s="93"/>
    </row>
    <row r="296" spans="9:26" x14ac:dyDescent="0.25">
      <c r="I296" s="49"/>
      <c r="J296" s="49"/>
      <c r="K296" s="49"/>
      <c r="M296" s="35"/>
      <c r="R296" s="61">
        <v>1150.4429684496899</v>
      </c>
      <c r="S296" s="58">
        <v>5.5441886546690543E-6</v>
      </c>
      <c r="U296" s="88"/>
      <c r="V296" s="85"/>
      <c r="W296" s="88"/>
      <c r="X296" s="88"/>
      <c r="Z296" s="94"/>
    </row>
    <row r="297" spans="9:26" x14ac:dyDescent="0.25">
      <c r="I297" s="49"/>
      <c r="J297" s="49"/>
      <c r="K297" s="49"/>
      <c r="M297" s="34"/>
      <c r="R297" s="61">
        <v>1150.4429684496899</v>
      </c>
      <c r="S297" s="58">
        <v>5.591898043628786E-6</v>
      </c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R298" s="61">
        <v>1152.9488783059896</v>
      </c>
      <c r="S298" s="58">
        <v>5.591898043628786E-6</v>
      </c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R299" s="61">
        <v>1152.9488783059896</v>
      </c>
      <c r="S299" s="58">
        <v>5.6396095313665469E-6</v>
      </c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R300" s="61">
        <v>1155.4350622012353</v>
      </c>
      <c r="S300" s="58">
        <v>5.6396095313665469E-6</v>
      </c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R301" s="61">
        <v>1155.4350622012353</v>
      </c>
      <c r="S301" s="58">
        <v>5.6873214209778283E-6</v>
      </c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R302" s="61">
        <v>1157.9212460964809</v>
      </c>
      <c r="S302" s="58">
        <v>5.6873214209778283E-6</v>
      </c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R303" s="61">
        <v>1157.9212460964809</v>
      </c>
      <c r="S303" s="58">
        <v>5.7350329087155883E-6</v>
      </c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R304" s="61">
        <v>1160.4271559527806</v>
      </c>
      <c r="S304" s="58">
        <v>5.7350329087155883E-6</v>
      </c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R305" s="61">
        <v>1160.4271559527806</v>
      </c>
      <c r="S305" s="58">
        <v>5.7827422976753209E-6</v>
      </c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R306" s="61">
        <v>1162.9734771673086</v>
      </c>
      <c r="S306" s="58">
        <v>5.7827422976753209E-6</v>
      </c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R307" s="61">
        <v>1162.9734771673086</v>
      </c>
      <c r="S307" s="58">
        <v>5.830443164317775E-6</v>
      </c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R308" s="61">
        <v>1165.5829342627451</v>
      </c>
      <c r="S308" s="58">
        <v>5.830443164317775E-6</v>
      </c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R309" s="61">
        <v>1165.5829342627451</v>
      </c>
      <c r="S309" s="58">
        <v>5.8781205062887173E-6</v>
      </c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R310" s="61">
        <v>1168.2816403657455</v>
      </c>
      <c r="S310" s="58">
        <v>5.8781205062887173E-6</v>
      </c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R311" s="61">
        <v>1168.2816403657455</v>
      </c>
      <c r="S311" s="58">
        <v>5.9257458349365846E-6</v>
      </c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R312" s="61">
        <v>1171.1009366329206</v>
      </c>
      <c r="S312" s="58">
        <v>5.9257458349365846E-6</v>
      </c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R313" s="61">
        <v>1171.1009366329206</v>
      </c>
      <c r="S313" s="58">
        <v>5.9732702593521716E-6</v>
      </c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R314" s="61">
        <v>1174.0800856187166</v>
      </c>
      <c r="S314" s="58">
        <v>5.9732702593521716E-6</v>
      </c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R315" s="61">
        <v>1174.0800856187166</v>
      </c>
      <c r="S315" s="58">
        <v>6.0206142707047161E-6</v>
      </c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R316" s="61">
        <v>1177.27047427825</v>
      </c>
      <c r="S316" s="58">
        <v>6.0206142707047161E-6</v>
      </c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R317" s="61">
        <v>1177.27047427825</v>
      </c>
      <c r="S317" s="58">
        <v>6.0676520189852032E-6</v>
      </c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R318" s="61">
        <v>1180.742602709025</v>
      </c>
      <c r="S318" s="58">
        <v>6.0676520189852032E-6</v>
      </c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R319" s="61">
        <v>1180.742602709025</v>
      </c>
      <c r="S319" s="58">
        <v>6.1141861071204129E-6</v>
      </c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R320" s="61">
        <v>1184.5985594206877</v>
      </c>
      <c r="S320" s="58">
        <v>6.1141861071204129E-6</v>
      </c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R321" s="61">
        <v>1184.5985594206877</v>
      </c>
      <c r="S321" s="58">
        <v>6.1599053299199331E-6</v>
      </c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R322" s="61">
        <v>1188.9963153520578</v>
      </c>
      <c r="S322" s="58">
        <v>6.1599053299199331E-6</v>
      </c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R323" s="61">
        <v>1188.9963153520578</v>
      </c>
      <c r="S323" s="58">
        <v>6.2043099395051304E-6</v>
      </c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R324" s="61">
        <v>1194.2028356593178</v>
      </c>
      <c r="S324" s="58">
        <v>6.2043099395051304E-6</v>
      </c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R325" s="61">
        <v>1194.2028356593178</v>
      </c>
      <c r="S325" s="58">
        <v>6.2465703580737764E-6</v>
      </c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R326" s="61">
        <v>1200.7314286203693</v>
      </c>
      <c r="S326" s="58">
        <v>6.2465703580737764E-6</v>
      </c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R327" s="61">
        <v>1200.7314286203693</v>
      </c>
      <c r="S327" s="58">
        <v>6.2852357112761438E-6</v>
      </c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R328" s="61">
        <v>1209.8112635515743</v>
      </c>
      <c r="S328" s="58">
        <v>6.2852357112761438E-6</v>
      </c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R329" s="61">
        <v>1209.8112635515743</v>
      </c>
      <c r="S329" s="58">
        <v>6.3175578122017829E-6</v>
      </c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R330" s="61">
        <v>1226.4309806194728</v>
      </c>
      <c r="S330" s="58">
        <v>6.3175578122017829E-6</v>
      </c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R331" s="61">
        <v>1226.4309806194728</v>
      </c>
      <c r="S331" s="58">
        <v>6.3377040449713538E-6</v>
      </c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R332" s="61">
        <v>1248.8720515467166</v>
      </c>
      <c r="S332" s="58">
        <v>6.3377040449713538E-6</v>
      </c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R333" s="61">
        <v>1248.8720515467166</v>
      </c>
      <c r="S333" s="58">
        <v>6.3400000000000003E-6</v>
      </c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R334" s="61">
        <v>1448.8720515467166</v>
      </c>
      <c r="S334" s="58">
        <v>6.3400000000000003E-6</v>
      </c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L572" s="71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50"/>
      <c r="J1190" s="50"/>
      <c r="K1190" s="50"/>
      <c r="V1190" s="85"/>
      <c r="W1190" s="85"/>
      <c r="X1190" s="85"/>
    </row>
    <row r="1191" spans="9:24" x14ac:dyDescent="0.25">
      <c r="I1191" s="50"/>
      <c r="J1191" s="50"/>
      <c r="K1191" s="50"/>
      <c r="V1191" s="85"/>
      <c r="W1191" s="85"/>
      <c r="X1191" s="85"/>
    </row>
    <row r="1192" spans="9:24" x14ac:dyDescent="0.25">
      <c r="I1192" s="50"/>
      <c r="J1192" s="50"/>
      <c r="K1192" s="50"/>
      <c r="V1192" s="85"/>
      <c r="W1192" s="85"/>
      <c r="X1192" s="85"/>
    </row>
    <row r="1193" spans="9:24" x14ac:dyDescent="0.25">
      <c r="I1193" s="50"/>
      <c r="J1193" s="50"/>
      <c r="K1193" s="50"/>
      <c r="V1193" s="85"/>
      <c r="W1193" s="85"/>
      <c r="X1193" s="85"/>
    </row>
    <row r="1194" spans="9:24" x14ac:dyDescent="0.25">
      <c r="I1194" s="50"/>
      <c r="J1194" s="50"/>
      <c r="K1194" s="50"/>
      <c r="V1194" s="85"/>
      <c r="W1194" s="85"/>
      <c r="X1194" s="85"/>
    </row>
    <row r="1195" spans="9:24" x14ac:dyDescent="0.25">
      <c r="I1195" s="50"/>
      <c r="J1195" s="50"/>
      <c r="K1195" s="50"/>
      <c r="V1195" s="85"/>
      <c r="W1195" s="85"/>
      <c r="X1195" s="85"/>
    </row>
    <row r="1196" spans="9:24" x14ac:dyDescent="0.25">
      <c r="I1196" s="50"/>
      <c r="J1196" s="50"/>
      <c r="K1196" s="50"/>
      <c r="V1196" s="85"/>
      <c r="W1196" s="85"/>
      <c r="X1196" s="85"/>
    </row>
    <row r="1197" spans="9:24" x14ac:dyDescent="0.25">
      <c r="I1197" s="50"/>
      <c r="J1197" s="50"/>
      <c r="K1197" s="50"/>
      <c r="V1197" s="85"/>
      <c r="W1197" s="85"/>
      <c r="X1197" s="85"/>
    </row>
    <row r="1198" spans="9:24" x14ac:dyDescent="0.25">
      <c r="I1198" s="50"/>
      <c r="J1198" s="50"/>
      <c r="K1198" s="50"/>
      <c r="V1198" s="85"/>
      <c r="W1198" s="85"/>
      <c r="X1198" s="85"/>
    </row>
    <row r="1199" spans="9:24" x14ac:dyDescent="0.25">
      <c r="I1199" s="50"/>
      <c r="J1199" s="50"/>
      <c r="K1199" s="50"/>
      <c r="V1199" s="85"/>
      <c r="W1199" s="85"/>
      <c r="X1199" s="85"/>
    </row>
    <row r="1200" spans="9:24" x14ac:dyDescent="0.25">
      <c r="I1200" s="50"/>
      <c r="J1200" s="50"/>
      <c r="K1200" s="50"/>
      <c r="V1200" s="85"/>
      <c r="W1200" s="85"/>
      <c r="X1200" s="85"/>
    </row>
    <row r="1201" spans="9:24" x14ac:dyDescent="0.25">
      <c r="I1201" s="50"/>
      <c r="J1201" s="50"/>
      <c r="K1201" s="50"/>
      <c r="V1201" s="85"/>
      <c r="W1201" s="85"/>
      <c r="X1201" s="85"/>
    </row>
    <row r="1202" spans="9:24" x14ac:dyDescent="0.25">
      <c r="I1202" s="50"/>
      <c r="J1202" s="50"/>
      <c r="K1202" s="50"/>
      <c r="V1202" s="85"/>
      <c r="W1202" s="85"/>
      <c r="X1202" s="85"/>
    </row>
    <row r="1203" spans="9:24" x14ac:dyDescent="0.25">
      <c r="I1203" s="50"/>
      <c r="J1203" s="50"/>
      <c r="K1203" s="50"/>
      <c r="V1203" s="85"/>
      <c r="W1203" s="85"/>
      <c r="X1203" s="85"/>
    </row>
    <row r="1204" spans="9:24" x14ac:dyDescent="0.25">
      <c r="I1204" s="50"/>
      <c r="J1204" s="50"/>
      <c r="K1204" s="50"/>
      <c r="V1204" s="85"/>
      <c r="W1204" s="85"/>
      <c r="X1204" s="85"/>
    </row>
    <row r="1205" spans="9:24" x14ac:dyDescent="0.25">
      <c r="I1205" s="50"/>
      <c r="J1205" s="50"/>
      <c r="K1205" s="50"/>
      <c r="V1205" s="85"/>
      <c r="W1205" s="85"/>
      <c r="X1205" s="85"/>
    </row>
    <row r="1206" spans="9:24" x14ac:dyDescent="0.25">
      <c r="I1206" s="50"/>
      <c r="J1206" s="50"/>
      <c r="K1206" s="50"/>
      <c r="V1206" s="85"/>
      <c r="W1206" s="85"/>
      <c r="X1206" s="85"/>
    </row>
    <row r="1207" spans="9:24" x14ac:dyDescent="0.25">
      <c r="I1207" s="50"/>
      <c r="J1207" s="50"/>
      <c r="K1207" s="50"/>
      <c r="V1207" s="85"/>
      <c r="W1207" s="85"/>
      <c r="X1207" s="85"/>
    </row>
    <row r="1208" spans="9:24" x14ac:dyDescent="0.25">
      <c r="I1208" s="50"/>
      <c r="J1208" s="50"/>
      <c r="K1208" s="50"/>
      <c r="V1208" s="85"/>
      <c r="W1208" s="85"/>
      <c r="X1208" s="85"/>
    </row>
    <row r="1209" spans="9:24" x14ac:dyDescent="0.25">
      <c r="I1209" s="50"/>
      <c r="J1209" s="50"/>
      <c r="K1209" s="50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V1534" s="88"/>
      <c r="W1534" s="88"/>
      <c r="X1534" s="88"/>
    </row>
    <row r="1535" spans="9:24" x14ac:dyDescent="0.25">
      <c r="V1535" s="88"/>
      <c r="W1535" s="88"/>
      <c r="X1535" s="88"/>
    </row>
    <row r="1536" spans="9:24" x14ac:dyDescent="0.25">
      <c r="V1536" s="88"/>
      <c r="W1536" s="88"/>
      <c r="X1536" s="88"/>
    </row>
    <row r="1537" spans="22:24" x14ac:dyDescent="0.25">
      <c r="V1537" s="88"/>
      <c r="W1537" s="88"/>
      <c r="X1537" s="88"/>
    </row>
    <row r="1538" spans="22:24" x14ac:dyDescent="0.25">
      <c r="V1538" s="88"/>
      <c r="W1538" s="88"/>
      <c r="X1538" s="88"/>
    </row>
    <row r="1539" spans="22:24" x14ac:dyDescent="0.25">
      <c r="V1539" s="88"/>
      <c r="W1539" s="88"/>
      <c r="X1539" s="88"/>
    </row>
    <row r="1540" spans="22:24" x14ac:dyDescent="0.25">
      <c r="V1540" s="88"/>
      <c r="W1540" s="88"/>
      <c r="X1540" s="88"/>
    </row>
    <row r="1541" spans="22:24" x14ac:dyDescent="0.25">
      <c r="V1541" s="88"/>
      <c r="W1541" s="88"/>
      <c r="X1541" s="88"/>
    </row>
    <row r="1542" spans="22:24" x14ac:dyDescent="0.25">
      <c r="V1542" s="88"/>
      <c r="W1542" s="88"/>
      <c r="X1542" s="88"/>
    </row>
    <row r="1543" spans="22:24" x14ac:dyDescent="0.25">
      <c r="V1543" s="88"/>
      <c r="W1543" s="88"/>
      <c r="X1543" s="88"/>
    </row>
    <row r="1544" spans="22:24" x14ac:dyDescent="0.25">
      <c r="V1544" s="88"/>
      <c r="W1544" s="88"/>
      <c r="X1544" s="88"/>
    </row>
    <row r="1545" spans="22:24" x14ac:dyDescent="0.25">
      <c r="V1545" s="88"/>
      <c r="W1545" s="88"/>
      <c r="X1545" s="88"/>
    </row>
    <row r="1546" spans="22:24" x14ac:dyDescent="0.25">
      <c r="V1546" s="88"/>
      <c r="W1546" s="88"/>
      <c r="X1546" s="88"/>
    </row>
    <row r="1547" spans="22:24" x14ac:dyDescent="0.25">
      <c r="V1547" s="88"/>
      <c r="W1547" s="88"/>
      <c r="X1547" s="88"/>
    </row>
    <row r="1548" spans="22:24" x14ac:dyDescent="0.25">
      <c r="V1548" s="88"/>
      <c r="W1548" s="88"/>
      <c r="X1548" s="88"/>
    </row>
    <row r="1549" spans="22:24" x14ac:dyDescent="0.25">
      <c r="V1549" s="88"/>
      <c r="W1549" s="88"/>
      <c r="X1549" s="88"/>
    </row>
    <row r="1550" spans="22:24" x14ac:dyDescent="0.25">
      <c r="V1550" s="88"/>
      <c r="W1550" s="88"/>
      <c r="X1550" s="88"/>
    </row>
    <row r="1551" spans="22:24" x14ac:dyDescent="0.25">
      <c r="V1551" s="88"/>
      <c r="W1551" s="88"/>
      <c r="X1551" s="88"/>
    </row>
    <row r="1552" spans="22:24" x14ac:dyDescent="0.25">
      <c r="V1552" s="88"/>
      <c r="W1552" s="88"/>
      <c r="X1552" s="88"/>
    </row>
    <row r="1553" spans="22:24" x14ac:dyDescent="0.25">
      <c r="V1553" s="88"/>
      <c r="W1553" s="88"/>
      <c r="X1553" s="88"/>
    </row>
    <row r="1554" spans="22:24" x14ac:dyDescent="0.25">
      <c r="V1554" s="88"/>
      <c r="W1554" s="88"/>
      <c r="X1554" s="88"/>
    </row>
    <row r="1555" spans="22:24" x14ac:dyDescent="0.25">
      <c r="V1555" s="88"/>
      <c r="W1555" s="88"/>
      <c r="X1555" s="88"/>
    </row>
    <row r="1556" spans="22:24" x14ac:dyDescent="0.25">
      <c r="V1556" s="88"/>
      <c r="W1556" s="88"/>
      <c r="X1556" s="88"/>
    </row>
    <row r="1557" spans="22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8">
    <mergeCell ref="B15:H15"/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9296-BCF3-4B24-8F5E-86164A3F3C5C}">
  <sheetPr codeName="Sheet6"/>
  <dimension ref="A1:D22"/>
  <sheetViews>
    <sheetView workbookViewId="0">
      <selection activeCell="B15" sqref="B15"/>
    </sheetView>
  </sheetViews>
  <sheetFormatPr defaultRowHeight="15.75" x14ac:dyDescent="0.25"/>
  <cols>
    <col min="1" max="1" width="38.375" bestFit="1" customWidth="1"/>
    <col min="2" max="2" width="9.25" bestFit="1" customWidth="1"/>
  </cols>
  <sheetData>
    <row r="1" spans="1:4" x14ac:dyDescent="0.25">
      <c r="A1" s="187"/>
      <c r="B1" s="114" t="s">
        <v>534</v>
      </c>
      <c r="C1" s="114" t="s">
        <v>632</v>
      </c>
      <c r="D1" s="188"/>
    </row>
    <row r="2" spans="1:4" ht="17.25" x14ac:dyDescent="0.25">
      <c r="A2" s="114" t="s">
        <v>635</v>
      </c>
      <c r="B2" s="189">
        <f>Reflectivity!F6</f>
        <v>69.830557576301231</v>
      </c>
      <c r="C2" s="189">
        <f>'d1'!D4</f>
        <v>4.2514829928872357</v>
      </c>
      <c r="D2" s="157"/>
    </row>
    <row r="3" spans="1:4" ht="18.75" x14ac:dyDescent="0.25">
      <c r="A3" s="114" t="s">
        <v>640</v>
      </c>
      <c r="B3" s="189">
        <f>Reflectivity!H4</f>
        <v>1014.1224305846122</v>
      </c>
      <c r="C3" s="189">
        <f>dtot!D4</f>
        <v>7.0198973913087963</v>
      </c>
      <c r="D3" s="157"/>
    </row>
    <row r="4" spans="1:4" ht="17.25" x14ac:dyDescent="0.25">
      <c r="A4" s="114" t="s">
        <v>633</v>
      </c>
      <c r="B4" s="189">
        <f>Reflectivity!F5</f>
        <v>19.042704736991322</v>
      </c>
      <c r="C4" s="189">
        <f>dPGMA!D4</f>
        <v>2.2132427667817902</v>
      </c>
      <c r="D4" s="157"/>
    </row>
    <row r="5" spans="1:4" ht="18.75" x14ac:dyDescent="0.25">
      <c r="A5" s="114" t="s">
        <v>639</v>
      </c>
      <c r="B5" s="189">
        <f>Reflectivity!F18</f>
        <v>470.03754630964187</v>
      </c>
      <c r="C5" s="189">
        <v>3.1</v>
      </c>
      <c r="D5" s="157"/>
    </row>
    <row r="6" spans="1:4" x14ac:dyDescent="0.25">
      <c r="D6" s="157"/>
    </row>
    <row r="7" spans="1:4" ht="18.75" x14ac:dyDescent="0.25">
      <c r="A7" s="114" t="s">
        <v>636</v>
      </c>
      <c r="B7" s="192">
        <f>Reflectivity!C6</f>
        <v>2.2232676148536195E-6</v>
      </c>
      <c r="C7" s="192">
        <f>'Nb1'!D4</f>
        <v>1.3551155279861969E-7</v>
      </c>
    </row>
    <row r="8" spans="1:4" ht="18.75" x14ac:dyDescent="0.25">
      <c r="A8" s="114" t="s">
        <v>645</v>
      </c>
      <c r="B8" s="192">
        <f>Reflectivity!C7</f>
        <v>4.9869309523443749E-6</v>
      </c>
      <c r="C8" s="192">
        <f>'Nb2'!D4</f>
        <v>1.0162018459520387E-7</v>
      </c>
    </row>
    <row r="9" spans="1:4" ht="18.75" x14ac:dyDescent="0.25">
      <c r="A9" s="114" t="s">
        <v>637</v>
      </c>
      <c r="B9" s="192">
        <f>Reflectivity!C5</f>
        <v>5.9837903409919828E-7</v>
      </c>
      <c r="C9" s="192">
        <f>NbPGMA!D4</f>
        <v>2.013471166065275E-7</v>
      </c>
      <c r="D9" s="190"/>
    </row>
    <row r="10" spans="1:4" ht="18.75" x14ac:dyDescent="0.25">
      <c r="A10" s="114" t="s">
        <v>643</v>
      </c>
      <c r="B10" s="192">
        <f>Reflectivity!H18</f>
        <v>9.2948336630918457E-7</v>
      </c>
      <c r="C10" s="192">
        <v>8.4076811635149067E-8</v>
      </c>
      <c r="D10" s="190"/>
    </row>
    <row r="12" spans="1:4" ht="17.25" x14ac:dyDescent="0.25">
      <c r="A12" s="114" t="s">
        <v>634</v>
      </c>
      <c r="B12" s="189">
        <f>Reflectivity!G8</f>
        <v>66.080591027519475</v>
      </c>
      <c r="C12" s="189">
        <f>sigtop!D4</f>
        <v>14.31540101626641</v>
      </c>
    </row>
    <row r="13" spans="1:4" ht="17.25" x14ac:dyDescent="0.25">
      <c r="A13" s="114" t="s">
        <v>638</v>
      </c>
      <c r="B13" s="189">
        <f>Reflectivity!G7</f>
        <v>64.833298256040337</v>
      </c>
      <c r="C13" s="189">
        <f>'sig12'!D4</f>
        <v>6.151391681784828</v>
      </c>
    </row>
    <row r="15" spans="1:4" ht="18.75" x14ac:dyDescent="0.25">
      <c r="A15" s="114" t="s">
        <v>642</v>
      </c>
      <c r="B15" s="189">
        <f>Reflectivity!D29</f>
        <v>172.33853321772688</v>
      </c>
      <c r="C15" s="189">
        <f>(Reflectivity!C29/B10^2)*C10</f>
        <v>15.588955026016935</v>
      </c>
    </row>
    <row r="16" spans="1:4" ht="18.75" x14ac:dyDescent="0.25">
      <c r="A16" s="114" t="s">
        <v>622</v>
      </c>
      <c r="B16" s="191">
        <f>B3/B5</f>
        <v>2.1575349427863557</v>
      </c>
      <c r="C16" s="191">
        <f>B16*SQRT(C3^2/B3^2+C5^2/B5^2)</f>
        <v>2.0628213989665176E-2</v>
      </c>
    </row>
    <row r="17" spans="1:3" ht="18.75" x14ac:dyDescent="0.25">
      <c r="A17" s="114" t="s">
        <v>644</v>
      </c>
      <c r="B17" s="189">
        <f>Reflectivity!E29</f>
        <v>371.82640740579279</v>
      </c>
      <c r="C17" s="189">
        <f>B17*SQRT(C16^2/B16^2+C15^2/B15^2)</f>
        <v>33.821074487109954</v>
      </c>
    </row>
    <row r="18" spans="1:3" ht="18.75" x14ac:dyDescent="0.25">
      <c r="A18" s="114" t="s">
        <v>631</v>
      </c>
      <c r="B18" s="192">
        <f>Reflectivity!F29</f>
        <v>1.6940868199909578E-3</v>
      </c>
      <c r="C18" s="194">
        <f>B17*B8*SQRT(C17^2/B17^2+C8^2/B8^2)</f>
        <v>1.7284398011524414E-4</v>
      </c>
    </row>
    <row r="19" spans="1:3" ht="18.75" x14ac:dyDescent="0.25">
      <c r="A19" s="114" t="s">
        <v>628</v>
      </c>
      <c r="B19" s="189">
        <f>Reflectivity!D32</f>
        <v>8.848716740616128</v>
      </c>
      <c r="C19" s="195">
        <f>C18/Reflectivity!C32</f>
        <v>0.90281525262598139</v>
      </c>
    </row>
    <row r="20" spans="1:3" ht="18.75" x14ac:dyDescent="0.25">
      <c r="A20" s="114" t="s">
        <v>641</v>
      </c>
      <c r="B20" s="191">
        <f>Reflectivity!H8</f>
        <v>1.1814506036080898</v>
      </c>
      <c r="C20" s="191">
        <f>1E+24*SQRT((Reflectivity!D35/(6.02E+23*B17))^2*C19^2+(B19*Reflectivity!D35/(6.02E+23*B17^2))^2*C17^2)</f>
        <v>0.10817679567534595</v>
      </c>
    </row>
    <row r="21" spans="1:3" ht="18.75" x14ac:dyDescent="0.25">
      <c r="A21" s="114" t="s">
        <v>652</v>
      </c>
      <c r="B21" s="189">
        <f>1000*B19/B17</f>
        <v>23.797978208038032</v>
      </c>
      <c r="C21" s="189">
        <f>B21*SQRT((C19/B19)^2+(C17/B17)^2)</f>
        <v>3.252868681146766</v>
      </c>
    </row>
    <row r="22" spans="1:3" x14ac:dyDescent="0.25">
      <c r="A22" s="193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75B40-2173-4CCF-AE55-5890226DFD90}">
  <sheetPr codeName="Sheet7"/>
  <dimension ref="A1:D26"/>
  <sheetViews>
    <sheetView workbookViewId="0">
      <selection activeCell="C18" sqref="C18"/>
    </sheetView>
  </sheetViews>
  <sheetFormatPr defaultRowHeight="15.75" x14ac:dyDescent="0.25"/>
  <cols>
    <col min="1" max="1" width="38.375" bestFit="1" customWidth="1"/>
    <col min="2" max="2" width="9.375" bestFit="1" customWidth="1"/>
    <col min="3" max="3" width="9.125" bestFit="1" customWidth="1"/>
  </cols>
  <sheetData>
    <row r="1" spans="1:4" x14ac:dyDescent="0.25">
      <c r="A1" s="187"/>
      <c r="B1" s="114" t="s">
        <v>534</v>
      </c>
      <c r="C1" s="114" t="s">
        <v>632</v>
      </c>
      <c r="D1" s="188"/>
    </row>
    <row r="2" spans="1:4" ht="18.75" x14ac:dyDescent="0.25">
      <c r="A2" s="114" t="s">
        <v>535</v>
      </c>
      <c r="B2" s="197">
        <v>3.54</v>
      </c>
      <c r="C2" s="196"/>
      <c r="D2" s="157"/>
    </row>
    <row r="3" spans="1:4" ht="17.25" x14ac:dyDescent="0.25">
      <c r="A3" s="114" t="s">
        <v>655</v>
      </c>
      <c r="B3" s="196">
        <v>0.72199999999999998</v>
      </c>
      <c r="C3" s="196">
        <v>6.0000000000000001E-3</v>
      </c>
      <c r="D3" s="157"/>
    </row>
    <row r="4" spans="1:4" x14ac:dyDescent="0.25">
      <c r="A4" s="116"/>
      <c r="B4" s="116"/>
      <c r="C4" s="116"/>
      <c r="D4" s="157"/>
    </row>
    <row r="5" spans="1:4" ht="17.25" x14ac:dyDescent="0.25">
      <c r="A5" s="114" t="s">
        <v>633</v>
      </c>
      <c r="B5" s="189">
        <v>20.5</v>
      </c>
      <c r="C5" s="189">
        <v>0.24</v>
      </c>
      <c r="D5" s="157"/>
    </row>
    <row r="6" spans="1:4" ht="17.25" x14ac:dyDescent="0.25">
      <c r="A6" s="114" t="s">
        <v>654</v>
      </c>
      <c r="B6" s="189">
        <v>69.7</v>
      </c>
      <c r="C6" s="189">
        <v>0.84</v>
      </c>
      <c r="D6" s="157"/>
    </row>
    <row r="7" spans="1:4" ht="17.25" x14ac:dyDescent="0.25">
      <c r="A7" s="114" t="s">
        <v>653</v>
      </c>
      <c r="B7" s="189">
        <v>943.3</v>
      </c>
      <c r="C7" s="189">
        <v>0.84</v>
      </c>
    </row>
    <row r="8" spans="1:4" ht="18.75" x14ac:dyDescent="0.25">
      <c r="A8" s="114" t="s">
        <v>656</v>
      </c>
      <c r="B8" s="189">
        <f>B6+B7</f>
        <v>1013</v>
      </c>
      <c r="C8" s="189">
        <f>SQRT(C6^2+C7^2)</f>
        <v>1.1879393923933999</v>
      </c>
    </row>
    <row r="9" spans="1:4" x14ac:dyDescent="0.25">
      <c r="D9" s="190"/>
    </row>
    <row r="10" spans="1:4" ht="18.75" x14ac:dyDescent="0.25">
      <c r="A10" s="114" t="s">
        <v>657</v>
      </c>
      <c r="B10" s="189">
        <v>466.9</v>
      </c>
      <c r="C10" s="189">
        <v>1</v>
      </c>
      <c r="D10" s="190"/>
    </row>
    <row r="11" spans="1:4" x14ac:dyDescent="0.25">
      <c r="A11" s="116"/>
      <c r="B11" s="116"/>
      <c r="C11" s="116"/>
    </row>
    <row r="12" spans="1:4" ht="18.75" x14ac:dyDescent="0.25">
      <c r="A12" s="114" t="s">
        <v>637</v>
      </c>
      <c r="B12" s="198">
        <v>5.9999999999999997E-7</v>
      </c>
      <c r="C12" s="198"/>
    </row>
    <row r="13" spans="1:4" ht="18.75" x14ac:dyDescent="0.25">
      <c r="A13" s="114" t="s">
        <v>658</v>
      </c>
      <c r="B13" s="198">
        <v>2.1789999999999998E-6</v>
      </c>
      <c r="C13" s="198">
        <v>4.8E-8</v>
      </c>
    </row>
    <row r="14" spans="1:4" ht="18.75" x14ac:dyDescent="0.25">
      <c r="A14" s="114" t="s">
        <v>659</v>
      </c>
      <c r="B14" s="198">
        <v>4.9450000000000001E-6</v>
      </c>
      <c r="C14" s="198">
        <v>1.4E-8</v>
      </c>
    </row>
    <row r="15" spans="1:4" ht="18.75" x14ac:dyDescent="0.25">
      <c r="A15" s="114" t="s">
        <v>666</v>
      </c>
      <c r="B15" s="198">
        <v>6.2920000000000001E-6</v>
      </c>
      <c r="C15" s="198">
        <v>1E-8</v>
      </c>
    </row>
    <row r="16" spans="1:4" x14ac:dyDescent="0.25">
      <c r="A16" s="116"/>
      <c r="B16" s="116"/>
      <c r="C16" s="116"/>
    </row>
    <row r="17" spans="1:3" ht="17.25" x14ac:dyDescent="0.25">
      <c r="A17" s="114" t="s">
        <v>660</v>
      </c>
      <c r="B17" s="189">
        <v>66.099999999999994</v>
      </c>
      <c r="C17" s="189">
        <f>2.35*0.63</f>
        <v>1.4805000000000001</v>
      </c>
    </row>
    <row r="18" spans="1:3" ht="17.25" x14ac:dyDescent="0.25">
      <c r="A18" s="114" t="s">
        <v>667</v>
      </c>
      <c r="B18" s="189">
        <v>59.4</v>
      </c>
      <c r="C18" s="189">
        <f>2.35*0.78</f>
        <v>1.8330000000000002</v>
      </c>
    </row>
    <row r="19" spans="1:3" x14ac:dyDescent="0.25">
      <c r="A19" s="116"/>
      <c r="B19" s="116"/>
      <c r="C19" s="116"/>
    </row>
    <row r="20" spans="1:3" ht="18.75" x14ac:dyDescent="0.25">
      <c r="A20" s="114" t="s">
        <v>642</v>
      </c>
      <c r="B20" s="189">
        <v>160.19999999999999</v>
      </c>
      <c r="C20" s="189">
        <v>0.9</v>
      </c>
    </row>
    <row r="21" spans="1:3" ht="18.75" x14ac:dyDescent="0.25">
      <c r="A21" s="114" t="s">
        <v>665</v>
      </c>
      <c r="B21" s="196">
        <f>B8/B10</f>
        <v>2.1696294709787964</v>
      </c>
      <c r="C21" s="196">
        <f>B21*SQRT(C8^2/B8^2+C10^2/B10^2)</f>
        <v>5.2978337513683998E-3</v>
      </c>
    </row>
    <row r="22" spans="1:3" ht="18.75" x14ac:dyDescent="0.25">
      <c r="A22" s="114" t="s">
        <v>644</v>
      </c>
      <c r="B22" s="189">
        <f>B21*B20</f>
        <v>347.57464125080315</v>
      </c>
      <c r="C22" s="189">
        <f>B22*SQRT((C21/B21)^2+(C20/B20)^2)</f>
        <v>2.1291360345893531</v>
      </c>
    </row>
    <row r="23" spans="1:3" ht="18.75" x14ac:dyDescent="0.25">
      <c r="A23" s="114" t="s">
        <v>631</v>
      </c>
      <c r="B23" s="192">
        <f>B22*B14-PMAAx!A18</f>
        <v>1.5585708009852215E-3</v>
      </c>
      <c r="C23" s="192">
        <f>B22*B13*SQRT(C22^2/B22^2+C13^2/B13^2)</f>
        <v>1.7316635065895723E-5</v>
      </c>
    </row>
    <row r="24" spans="1:3" ht="18.75" x14ac:dyDescent="0.25">
      <c r="A24" s="114" t="s">
        <v>628</v>
      </c>
      <c r="B24" s="197">
        <f>B23/(0.00001*PMAAx!G62)</f>
        <v>8.140876474198075</v>
      </c>
      <c r="C24" s="197">
        <f>C23/(0.00001*PMAAx!G62)</f>
        <v>9.0449908936514611E-2</v>
      </c>
    </row>
    <row r="25" spans="1:3" ht="18.75" x14ac:dyDescent="0.25">
      <c r="A25" s="114" t="s">
        <v>641</v>
      </c>
      <c r="B25" s="196">
        <f>(PMAAx!A16+B24*PMAAx!F62)/(0.6022*B22)</f>
        <v>1.1957622948011335</v>
      </c>
      <c r="C25" s="196">
        <f>SQRT((PMAAx!F62/(0.6022*B22))^2*C24^2+(B24*PMAAx!F62/(0.6022*B22^2))^2*C22^2)</f>
        <v>9.8791111373946368E-3</v>
      </c>
    </row>
    <row r="26" spans="1:3" ht="18.75" x14ac:dyDescent="0.25">
      <c r="A26" s="114" t="s">
        <v>652</v>
      </c>
      <c r="B26" s="189">
        <f>1000*B24/B22</f>
        <v>23.421951742226717</v>
      </c>
      <c r="C26" s="189">
        <f>B26*SQRT((C24/B24)^2+(C22/B22)^2)</f>
        <v>0.29716287347347908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7A2B5-4E9E-4D47-903D-A30ADA357509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609</v>
      </c>
      <c r="B2" s="126">
        <v>65</v>
      </c>
      <c r="C2" s="126">
        <v>73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65</v>
      </c>
      <c r="B4" s="115">
        <v>5.0921814633456863</v>
      </c>
      <c r="C4" s="127">
        <v>69.830557576301231</v>
      </c>
      <c r="D4" s="127">
        <v>4.2514829928872357</v>
      </c>
    </row>
    <row r="5" spans="1:5" x14ac:dyDescent="0.25">
      <c r="A5" s="127">
        <v>65.8</v>
      </c>
      <c r="B5" s="115">
        <v>4.6839865560550082</v>
      </c>
      <c r="C5" s="116"/>
      <c r="D5" s="116"/>
    </row>
    <row r="6" spans="1:5" x14ac:dyDescent="0.25">
      <c r="A6" s="127">
        <v>66.599999999999994</v>
      </c>
      <c r="B6" s="115">
        <v>4.3549809804878423</v>
      </c>
      <c r="C6" s="116"/>
      <c r="D6" s="116"/>
    </row>
    <row r="7" spans="1:5" x14ac:dyDescent="0.25">
      <c r="A7" s="127">
        <v>67.400000000000006</v>
      </c>
      <c r="B7" s="115">
        <v>4.1034793484041234</v>
      </c>
      <c r="C7" s="116"/>
      <c r="D7" s="116"/>
    </row>
    <row r="8" spans="1:5" x14ac:dyDescent="0.25">
      <c r="A8" s="127">
        <v>68.2</v>
      </c>
      <c r="B8" s="115">
        <v>3.9275730847747901</v>
      </c>
      <c r="C8" s="116"/>
      <c r="D8" s="116"/>
    </row>
    <row r="9" spans="1:5" x14ac:dyDescent="0.25">
      <c r="A9" s="127">
        <v>69</v>
      </c>
      <c r="B9" s="115">
        <v>3.8251446348561866</v>
      </c>
      <c r="C9" s="116"/>
      <c r="D9" s="116"/>
    </row>
    <row r="10" spans="1:5" x14ac:dyDescent="0.25">
      <c r="A10" s="127">
        <v>69.8</v>
      </c>
      <c r="B10" s="115">
        <v>3.793883122559405</v>
      </c>
      <c r="C10" s="116"/>
      <c r="D10" s="116"/>
    </row>
    <row r="11" spans="1:5" x14ac:dyDescent="0.25">
      <c r="A11" s="127">
        <v>70.599999999999994</v>
      </c>
      <c r="B11" s="115">
        <v>3.8313012859120259</v>
      </c>
      <c r="C11" s="116"/>
      <c r="D11" s="116"/>
    </row>
    <row r="12" spans="1:5" x14ac:dyDescent="0.25">
      <c r="A12" s="127">
        <v>71.400000000000006</v>
      </c>
      <c r="B12" s="115">
        <v>3.9347535067610968</v>
      </c>
      <c r="C12" s="116"/>
      <c r="D12" s="116"/>
    </row>
    <row r="13" spans="1:5" x14ac:dyDescent="0.25">
      <c r="A13" s="127">
        <v>72.2</v>
      </c>
      <c r="B13" s="115">
        <v>4.1014547455731396</v>
      </c>
      <c r="C13" s="116"/>
      <c r="D13" s="116"/>
    </row>
    <row r="14" spans="1:5" x14ac:dyDescent="0.25">
      <c r="A14" s="127">
        <v>73</v>
      </c>
      <c r="B14" s="115">
        <v>4.3285001882191194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16D0-4C41-484D-8C56-BD192F8DC076}">
  <sheetPr codeName="Sheet17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610</v>
      </c>
      <c r="B2" s="126">
        <v>1005</v>
      </c>
      <c r="C2" s="126">
        <v>1020</v>
      </c>
      <c r="D2" s="186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1005</v>
      </c>
      <c r="B4" s="115">
        <v>5.477852987372704</v>
      </c>
      <c r="C4" s="127">
        <v>1014.1224305846122</v>
      </c>
      <c r="D4" s="127">
        <v>7.0198973913087963</v>
      </c>
    </row>
    <row r="5" spans="1:5" x14ac:dyDescent="0.25">
      <c r="A5" s="127">
        <v>1006.5</v>
      </c>
      <c r="B5" s="115">
        <v>4.9646625212423752</v>
      </c>
      <c r="C5" s="116"/>
      <c r="D5" s="116"/>
    </row>
    <row r="6" spans="1:5" x14ac:dyDescent="0.25">
      <c r="A6" s="127">
        <v>1008</v>
      </c>
      <c r="B6" s="115">
        <v>4.5448617904483912</v>
      </c>
      <c r="C6" s="116"/>
      <c r="D6" s="116"/>
    </row>
    <row r="7" spans="1:5" x14ac:dyDescent="0.25">
      <c r="A7" s="127">
        <v>1009.5</v>
      </c>
      <c r="B7" s="115">
        <v>4.2178385454103786</v>
      </c>
      <c r="C7" s="116"/>
      <c r="D7" s="116"/>
    </row>
    <row r="8" spans="1:5" x14ac:dyDescent="0.25">
      <c r="A8" s="127">
        <v>1011</v>
      </c>
      <c r="B8" s="115">
        <v>3.9830202890564848</v>
      </c>
      <c r="C8" s="116"/>
      <c r="D8" s="116"/>
    </row>
    <row r="9" spans="1:5" x14ac:dyDescent="0.25">
      <c r="A9" s="127">
        <v>1012.5</v>
      </c>
      <c r="B9" s="115">
        <v>3.8398836148117157</v>
      </c>
      <c r="C9" s="116"/>
      <c r="D9" s="116"/>
    </row>
    <row r="10" spans="1:5" x14ac:dyDescent="0.25">
      <c r="A10" s="127">
        <v>1014</v>
      </c>
      <c r="B10" s="115">
        <v>3.7879593142771584</v>
      </c>
      <c r="C10" s="116"/>
      <c r="D10" s="116"/>
    </row>
    <row r="11" spans="1:5" x14ac:dyDescent="0.25">
      <c r="A11" s="127">
        <v>1015.5</v>
      </c>
      <c r="B11" s="115">
        <v>3.826833215166197</v>
      </c>
      <c r="C11" s="116"/>
      <c r="D11" s="116"/>
    </row>
    <row r="12" spans="1:5" x14ac:dyDescent="0.25">
      <c r="A12" s="127">
        <v>1017</v>
      </c>
      <c r="B12" s="115">
        <v>3.9561428065783542</v>
      </c>
      <c r="C12" s="116"/>
      <c r="D12" s="116"/>
    </row>
    <row r="13" spans="1:5" x14ac:dyDescent="0.25">
      <c r="A13" s="127">
        <v>1018.5</v>
      </c>
      <c r="B13" s="115">
        <v>4.1755698031986199</v>
      </c>
      <c r="C13" s="116"/>
      <c r="D13" s="116"/>
    </row>
    <row r="14" spans="1:5" x14ac:dyDescent="0.25">
      <c r="A14" s="127">
        <v>1020</v>
      </c>
      <c r="B14" s="115">
        <v>4.4848288900694371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A239-7F05-4F68-B765-7B3259885CF9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82" t="s">
        <v>530</v>
      </c>
      <c r="C1" s="182" t="s">
        <v>531</v>
      </c>
      <c r="D1" s="111" t="s">
        <v>532</v>
      </c>
      <c r="E1" s="206" t="s">
        <v>533</v>
      </c>
    </row>
    <row r="2" spans="1:5" x14ac:dyDescent="0.25">
      <c r="A2" s="119" t="s">
        <v>615</v>
      </c>
      <c r="B2" s="126">
        <v>17</v>
      </c>
      <c r="C2" s="126">
        <v>21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17</v>
      </c>
      <c r="B4" s="115">
        <v>4.6165394637615371</v>
      </c>
      <c r="C4" s="127">
        <v>19.042704736991322</v>
      </c>
      <c r="D4" s="127">
        <v>2.2132427667817902</v>
      </c>
    </row>
    <row r="5" spans="1:5" x14ac:dyDescent="0.25">
      <c r="A5" s="127">
        <v>17.399999999999999</v>
      </c>
      <c r="B5" s="115">
        <v>4.3105402682168252</v>
      </c>
      <c r="C5" s="116"/>
      <c r="D5" s="116"/>
    </row>
    <row r="6" spans="1:5" x14ac:dyDescent="0.25">
      <c r="A6" s="127">
        <v>17.8</v>
      </c>
      <c r="B6" s="115">
        <v>4.0719824792310426</v>
      </c>
      <c r="C6" s="116"/>
      <c r="D6" s="116"/>
    </row>
    <row r="7" spans="1:5" x14ac:dyDescent="0.25">
      <c r="A7" s="127">
        <v>18.2</v>
      </c>
      <c r="B7" s="115">
        <v>3.9008821709955797</v>
      </c>
      <c r="C7" s="116"/>
      <c r="D7" s="116"/>
    </row>
    <row r="8" spans="1:5" x14ac:dyDescent="0.25">
      <c r="A8" s="127">
        <v>18.600000000000001</v>
      </c>
      <c r="B8" s="115">
        <v>3.7969588823835703</v>
      </c>
      <c r="C8" s="116"/>
      <c r="D8" s="116"/>
    </row>
    <row r="9" spans="1:5" x14ac:dyDescent="0.25">
      <c r="A9" s="127">
        <v>19</v>
      </c>
      <c r="B9" s="115">
        <v>3.7596539790219659</v>
      </c>
      <c r="C9" s="116"/>
      <c r="D9" s="116"/>
    </row>
    <row r="10" spans="1:5" x14ac:dyDescent="0.25">
      <c r="A10" s="127">
        <v>19.399999999999999</v>
      </c>
      <c r="B10" s="115">
        <v>3.7881503941536216</v>
      </c>
      <c r="C10" s="116"/>
      <c r="D10" s="116"/>
    </row>
    <row r="11" spans="1:5" x14ac:dyDescent="0.25">
      <c r="A11" s="127">
        <v>19.8</v>
      </c>
      <c r="B11" s="115">
        <v>3.8813933862408336</v>
      </c>
      <c r="C11" s="116"/>
      <c r="D11" s="116"/>
    </row>
    <row r="12" spans="1:5" x14ac:dyDescent="0.25">
      <c r="A12" s="127">
        <v>20.2</v>
      </c>
      <c r="B12" s="115">
        <v>4.0381119688577254</v>
      </c>
      <c r="C12" s="116"/>
      <c r="D12" s="116"/>
    </row>
    <row r="13" spans="1:5" x14ac:dyDescent="0.25">
      <c r="A13" s="127">
        <v>20.6</v>
      </c>
      <c r="B13" s="115">
        <v>4.2568406900034752</v>
      </c>
      <c r="C13" s="116"/>
      <c r="D13" s="116"/>
    </row>
    <row r="14" spans="1:5" x14ac:dyDescent="0.25">
      <c r="A14" s="127">
        <v>21</v>
      </c>
      <c r="B14" s="115">
        <v>4.5359414626431489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9285-687F-48A5-BC37-1D31EDA3C3E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611</v>
      </c>
      <c r="B2" s="181">
        <v>2.1500000000000002E-6</v>
      </c>
      <c r="C2" s="181">
        <v>2.3499999999999999E-6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2.1500000000000002E-6</v>
      </c>
      <c r="B4" s="115">
        <v>4.150077114281058</v>
      </c>
      <c r="C4" s="121">
        <v>2.2232676148536195E-6</v>
      </c>
      <c r="D4" s="121">
        <v>1.3551155279861969E-7</v>
      </c>
    </row>
    <row r="5" spans="1:5" x14ac:dyDescent="0.25">
      <c r="A5" s="121">
        <v>2.17E-6</v>
      </c>
      <c r="B5" s="115">
        <v>3.9960507974409381</v>
      </c>
      <c r="C5" s="116"/>
      <c r="D5" s="116"/>
    </row>
    <row r="6" spans="1:5" x14ac:dyDescent="0.25">
      <c r="A6" s="121">
        <v>2.1900000000000002E-6</v>
      </c>
      <c r="B6" s="115">
        <v>3.8947101288893244</v>
      </c>
      <c r="C6" s="116"/>
      <c r="D6" s="116"/>
    </row>
    <row r="7" spans="1:5" x14ac:dyDescent="0.25">
      <c r="A7" s="121">
        <v>2.21E-6</v>
      </c>
      <c r="B7" s="115">
        <v>3.8436905581233498</v>
      </c>
      <c r="C7" s="116"/>
      <c r="D7" s="116"/>
    </row>
    <row r="8" spans="1:5" x14ac:dyDescent="0.25">
      <c r="A8" s="121">
        <v>2.2300000000000002E-6</v>
      </c>
      <c r="B8" s="115">
        <v>3.8406693202186228</v>
      </c>
      <c r="C8" s="116"/>
      <c r="D8" s="116"/>
    </row>
    <row r="9" spans="1:5" x14ac:dyDescent="0.25">
      <c r="A9" s="121">
        <v>2.2500000000000001E-6</v>
      </c>
      <c r="B9" s="115">
        <v>3.8833657581206631</v>
      </c>
      <c r="C9" s="116"/>
      <c r="D9" s="116"/>
    </row>
    <row r="10" spans="1:5" x14ac:dyDescent="0.25">
      <c r="A10" s="121">
        <v>2.2699999999999999E-6</v>
      </c>
      <c r="B10" s="115">
        <v>3.9695416459488895</v>
      </c>
      <c r="C10" s="116"/>
      <c r="D10" s="116"/>
    </row>
    <row r="11" spans="1:5" x14ac:dyDescent="0.25">
      <c r="A11" s="121">
        <v>2.2900000000000001E-6</v>
      </c>
      <c r="B11" s="115">
        <v>4.0970015133160169</v>
      </c>
      <c r="C11" s="116"/>
      <c r="D11" s="116"/>
    </row>
    <row r="12" spans="1:5" x14ac:dyDescent="0.25">
      <c r="A12" s="121">
        <v>2.3099999999999999E-6</v>
      </c>
      <c r="B12" s="115">
        <v>4.2635929706594071</v>
      </c>
      <c r="C12" s="116"/>
      <c r="D12" s="116"/>
    </row>
    <row r="13" spans="1:5" x14ac:dyDescent="0.25">
      <c r="A13" s="121">
        <v>2.3300000000000001E-6</v>
      </c>
      <c r="B13" s="115">
        <v>4.4672070355853348</v>
      </c>
      <c r="C13" s="116"/>
      <c r="D13" s="116"/>
    </row>
    <row r="14" spans="1:5" x14ac:dyDescent="0.25">
      <c r="A14" s="121">
        <v>2.3499999999999999E-6</v>
      </c>
      <c r="B14" s="115">
        <v>4.7057784602269122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3E6-1E5F-4CAD-9EAD-AE03C4F1A413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612</v>
      </c>
      <c r="B2" s="181">
        <v>4.8999999999999997E-6</v>
      </c>
      <c r="C2" s="181">
        <v>5.1000000000000003E-6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4.8999999999999997E-6</v>
      </c>
      <c r="B4" s="115">
        <v>4.5709134777066707</v>
      </c>
      <c r="C4" s="121">
        <v>4.9869309523443749E-6</v>
      </c>
      <c r="D4" s="121">
        <v>1.0162018459520387E-7</v>
      </c>
    </row>
    <row r="5" spans="1:5" x14ac:dyDescent="0.25">
      <c r="A5" s="121">
        <v>4.9199999999999995E-6</v>
      </c>
      <c r="B5" s="115">
        <v>4.2646038519973839</v>
      </c>
      <c r="C5" s="116"/>
      <c r="D5" s="116"/>
    </row>
    <row r="6" spans="1:5" x14ac:dyDescent="0.25">
      <c r="A6" s="121">
        <v>4.9400000000000001E-6</v>
      </c>
      <c r="B6" s="115">
        <v>4.0423316862843821</v>
      </c>
      <c r="C6" s="116"/>
      <c r="D6" s="116"/>
    </row>
    <row r="7" spans="1:5" x14ac:dyDescent="0.25">
      <c r="A7" s="121">
        <v>4.9599999999999999E-6</v>
      </c>
      <c r="B7" s="115">
        <v>3.901115514522727</v>
      </c>
      <c r="C7" s="116"/>
      <c r="D7" s="116"/>
    </row>
    <row r="8" spans="1:5" x14ac:dyDescent="0.25">
      <c r="A8" s="121">
        <v>4.9799999999999998E-6</v>
      </c>
      <c r="B8" s="115">
        <v>3.8385158646833855</v>
      </c>
      <c r="C8" s="116"/>
      <c r="D8" s="116"/>
    </row>
    <row r="9" spans="1:5" x14ac:dyDescent="0.25">
      <c r="A9" s="121">
        <v>5.0000000000000004E-6</v>
      </c>
      <c r="B9" s="115">
        <v>3.8527469936322323</v>
      </c>
      <c r="C9" s="116"/>
      <c r="D9" s="116"/>
    </row>
    <row r="10" spans="1:5" x14ac:dyDescent="0.25">
      <c r="A10" s="121">
        <v>5.0200000000000002E-6</v>
      </c>
      <c r="B10" s="115">
        <v>3.9427786536616494</v>
      </c>
      <c r="C10" s="116"/>
      <c r="D10" s="116"/>
    </row>
    <row r="11" spans="1:5" x14ac:dyDescent="0.25">
      <c r="A11" s="121">
        <v>5.04E-6</v>
      </c>
      <c r="B11" s="115">
        <v>4.1084251442331832</v>
      </c>
      <c r="C11" s="116"/>
      <c r="D11" s="116"/>
    </row>
    <row r="12" spans="1:5" x14ac:dyDescent="0.25">
      <c r="A12" s="121">
        <v>5.0599999999999998E-6</v>
      </c>
      <c r="B12" s="115">
        <v>4.3504190973221837</v>
      </c>
      <c r="C12" s="116"/>
      <c r="D12" s="116"/>
    </row>
    <row r="13" spans="1:5" x14ac:dyDescent="0.25">
      <c r="A13" s="121">
        <v>5.0800000000000005E-6</v>
      </c>
      <c r="B13" s="115">
        <v>4.6704677151990923</v>
      </c>
      <c r="C13" s="116"/>
      <c r="D13" s="116"/>
    </row>
    <row r="14" spans="1:5" x14ac:dyDescent="0.25">
      <c r="A14" s="121">
        <v>5.1000000000000003E-6</v>
      </c>
      <c r="B14" s="115">
        <v>5.0712895182491824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3E3EF-A850-4C59-864E-F1BECDB49094}">
  <sheetPr codeName="Sheet20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614</v>
      </c>
      <c r="B2" s="126">
        <v>59</v>
      </c>
      <c r="C2" s="126">
        <v>69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59</v>
      </c>
      <c r="B4" s="115">
        <v>4.7396982636860328</v>
      </c>
      <c r="C4" s="127">
        <v>64.833298256040337</v>
      </c>
      <c r="D4" s="127">
        <v>6.151391681784828</v>
      </c>
    </row>
    <row r="5" spans="1:5" x14ac:dyDescent="0.25">
      <c r="A5" s="127">
        <v>60</v>
      </c>
      <c r="B5" s="115">
        <v>4.4325266568015431</v>
      </c>
      <c r="C5" s="116"/>
      <c r="D5" s="116"/>
    </row>
    <row r="6" spans="1:5" x14ac:dyDescent="0.25">
      <c r="A6" s="127">
        <v>61</v>
      </c>
      <c r="B6" s="115">
        <v>4.1925851467464765</v>
      </c>
      <c r="C6" s="116"/>
      <c r="D6" s="116"/>
    </row>
    <row r="7" spans="1:5" x14ac:dyDescent="0.25">
      <c r="A7" s="127">
        <v>62</v>
      </c>
      <c r="B7" s="115">
        <v>4.0160361861256089</v>
      </c>
      <c r="C7" s="116"/>
      <c r="D7" s="116"/>
    </row>
    <row r="8" spans="1:5" x14ac:dyDescent="0.25">
      <c r="A8" s="127">
        <v>63</v>
      </c>
      <c r="B8" s="115">
        <v>3.8991599836275634</v>
      </c>
      <c r="C8" s="116"/>
      <c r="D8" s="116"/>
    </row>
    <row r="9" spans="1:5" x14ac:dyDescent="0.25">
      <c r="A9" s="127">
        <v>64</v>
      </c>
      <c r="B9" s="115">
        <v>3.8383582219014012</v>
      </c>
      <c r="C9" s="116"/>
      <c r="D9" s="116"/>
    </row>
    <row r="10" spans="1:5" x14ac:dyDescent="0.25">
      <c r="A10" s="127">
        <v>65</v>
      </c>
      <c r="B10" s="115">
        <v>3.8301572672903466</v>
      </c>
      <c r="C10" s="116"/>
      <c r="D10" s="116"/>
    </row>
    <row r="11" spans="1:5" x14ac:dyDescent="0.25">
      <c r="A11" s="127">
        <v>66</v>
      </c>
      <c r="B11" s="115">
        <v>3.8712108119838855</v>
      </c>
      <c r="C11" s="116"/>
      <c r="D11" s="116"/>
    </row>
    <row r="12" spans="1:5" x14ac:dyDescent="0.25">
      <c r="A12" s="127">
        <v>67</v>
      </c>
      <c r="B12" s="115">
        <v>3.9583019078262915</v>
      </c>
      <c r="C12" s="116"/>
      <c r="D12" s="116"/>
    </row>
    <row r="13" spans="1:5" x14ac:dyDescent="0.25">
      <c r="A13" s="127">
        <v>68</v>
      </c>
      <c r="B13" s="115">
        <v>4.0883443682250045</v>
      </c>
      <c r="C13" s="116"/>
      <c r="D13" s="116"/>
    </row>
    <row r="14" spans="1:5" x14ac:dyDescent="0.25">
      <c r="A14" s="127">
        <v>69</v>
      </c>
      <c r="B14" s="115">
        <v>4.2583835300678956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6" t="s">
        <v>533</v>
      </c>
    </row>
    <row r="2" spans="1:5" x14ac:dyDescent="0.25">
      <c r="A2" s="119" t="s">
        <v>613</v>
      </c>
      <c r="B2" s="126">
        <v>50</v>
      </c>
      <c r="C2" s="126">
        <v>80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50</v>
      </c>
      <c r="B4" s="115">
        <v>5.1395970392289838</v>
      </c>
      <c r="C4" s="127">
        <v>66.080591027519475</v>
      </c>
      <c r="D4" s="127">
        <v>14.31540101626641</v>
      </c>
    </row>
    <row r="5" spans="1:5" x14ac:dyDescent="0.25">
      <c r="A5" s="127">
        <v>53</v>
      </c>
      <c r="B5" s="115">
        <v>4.6354236872762922</v>
      </c>
      <c r="C5" s="116"/>
      <c r="D5" s="116"/>
    </row>
    <row r="6" spans="1:5" x14ac:dyDescent="0.25">
      <c r="A6" s="127">
        <v>56</v>
      </c>
      <c r="B6" s="115">
        <v>4.2647288618032215</v>
      </c>
      <c r="C6" s="116"/>
      <c r="D6" s="116"/>
    </row>
    <row r="7" spans="1:5" x14ac:dyDescent="0.25">
      <c r="A7" s="127">
        <v>59</v>
      </c>
      <c r="B7" s="115">
        <v>4.0140587340974561</v>
      </c>
      <c r="C7" s="116"/>
      <c r="D7" s="116"/>
    </row>
    <row r="8" spans="1:5" x14ac:dyDescent="0.25">
      <c r="A8" s="127">
        <v>62</v>
      </c>
      <c r="B8" s="115">
        <v>3.8709447314706753</v>
      </c>
      <c r="C8" s="116"/>
      <c r="D8" s="116"/>
    </row>
    <row r="9" spans="1:5" x14ac:dyDescent="0.25">
      <c r="A9" s="127">
        <v>65</v>
      </c>
      <c r="B9" s="115">
        <v>3.824007511855684</v>
      </c>
      <c r="C9" s="116"/>
      <c r="D9" s="116"/>
    </row>
    <row r="10" spans="1:5" x14ac:dyDescent="0.25">
      <c r="A10" s="127">
        <v>68</v>
      </c>
      <c r="B10" s="115">
        <v>3.8629440898261018</v>
      </c>
      <c r="C10" s="116"/>
      <c r="D10" s="116"/>
    </row>
    <row r="11" spans="1:5" x14ac:dyDescent="0.25">
      <c r="A11" s="127">
        <v>71</v>
      </c>
      <c r="B11" s="115">
        <v>3.9784517515934152</v>
      </c>
      <c r="C11" s="116"/>
      <c r="D11" s="116"/>
    </row>
    <row r="12" spans="1:5" x14ac:dyDescent="0.25">
      <c r="A12" s="127">
        <v>74</v>
      </c>
      <c r="B12" s="115">
        <v>4.1621258512400487</v>
      </c>
      <c r="C12" s="116"/>
      <c r="D12" s="116"/>
    </row>
    <row r="13" spans="1:5" x14ac:dyDescent="0.25">
      <c r="A13" s="127">
        <v>77</v>
      </c>
      <c r="B13" s="115">
        <v>4.4063549547005909</v>
      </c>
      <c r="C13" s="116"/>
      <c r="D13" s="116"/>
    </row>
    <row r="14" spans="1:5" x14ac:dyDescent="0.25">
      <c r="A14" s="127">
        <v>80</v>
      </c>
      <c r="B14" s="115">
        <v>4.7042262837416056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FA31-6C38-45B4-BB55-C158C44D820D}">
  <sheetPr codeName="Sheet23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84" t="s">
        <v>530</v>
      </c>
      <c r="C1" s="184" t="s">
        <v>531</v>
      </c>
      <c r="D1" s="111" t="s">
        <v>532</v>
      </c>
      <c r="E1" s="206" t="s">
        <v>533</v>
      </c>
    </row>
    <row r="2" spans="1:5" x14ac:dyDescent="0.25">
      <c r="A2" s="119" t="s">
        <v>617</v>
      </c>
      <c r="B2" s="181">
        <v>4.9999999999999998E-7</v>
      </c>
      <c r="C2" s="181">
        <v>7.9999999999999996E-7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4.9999999999999998E-7</v>
      </c>
      <c r="B4" s="115">
        <v>4.0647485298999451</v>
      </c>
      <c r="C4" s="121">
        <v>5.9837903409919828E-7</v>
      </c>
      <c r="D4" s="121">
        <v>2.013471166065275E-7</v>
      </c>
    </row>
    <row r="5" spans="1:5" x14ac:dyDescent="0.25">
      <c r="A5" s="121">
        <v>5.3000000000000001E-7</v>
      </c>
      <c r="B5" s="115">
        <v>3.9240974979089271</v>
      </c>
      <c r="C5" s="116"/>
      <c r="D5" s="116"/>
    </row>
    <row r="6" spans="1:5" x14ac:dyDescent="0.25">
      <c r="A6" s="121">
        <v>5.5999999999999993E-7</v>
      </c>
      <c r="B6" s="115">
        <v>3.8376638330625537</v>
      </c>
      <c r="C6" s="116"/>
      <c r="D6" s="116"/>
    </row>
    <row r="7" spans="1:5" x14ac:dyDescent="0.25">
      <c r="A7" s="121">
        <v>5.8999999999999996E-7</v>
      </c>
      <c r="B7" s="115">
        <v>3.8028177929417595</v>
      </c>
      <c r="C7" s="116"/>
      <c r="D7" s="116"/>
    </row>
    <row r="8" spans="1:5" x14ac:dyDescent="0.25">
      <c r="A8" s="121">
        <v>6.1999999999999999E-7</v>
      </c>
      <c r="B8" s="115">
        <v>3.8170172407003156</v>
      </c>
      <c r="C8" s="116"/>
      <c r="D8" s="116"/>
    </row>
    <row r="9" spans="1:5" x14ac:dyDescent="0.25">
      <c r="A9" s="121">
        <v>6.4999999999999992E-7</v>
      </c>
      <c r="B9" s="115">
        <v>3.8778077076610131</v>
      </c>
      <c r="C9" s="116"/>
      <c r="D9" s="116"/>
    </row>
    <row r="10" spans="1:5" x14ac:dyDescent="0.25">
      <c r="A10" s="121">
        <v>6.7999999999999995E-7</v>
      </c>
      <c r="B10" s="115">
        <v>3.9828224558714731</v>
      </c>
      <c r="C10" s="116"/>
      <c r="D10" s="116"/>
    </row>
    <row r="11" spans="1:5" x14ac:dyDescent="0.25">
      <c r="A11" s="121">
        <v>7.0999999999999998E-7</v>
      </c>
      <c r="B11" s="115">
        <v>4.1297825406173105</v>
      </c>
      <c r="C11" s="116"/>
      <c r="D11" s="116"/>
    </row>
    <row r="12" spans="1:5" x14ac:dyDescent="0.25">
      <c r="A12" s="121">
        <v>7.399999999999999E-7</v>
      </c>
      <c r="B12" s="115">
        <v>4.3164968728969493</v>
      </c>
      <c r="C12" s="116"/>
      <c r="D12" s="116"/>
    </row>
    <row r="13" spans="1:5" x14ac:dyDescent="0.25">
      <c r="A13" s="121">
        <v>7.6999999999999993E-7</v>
      </c>
      <c r="B13" s="115">
        <v>4.5408622818535438</v>
      </c>
      <c r="C13" s="116"/>
      <c r="D13" s="116"/>
    </row>
    <row r="14" spans="1:5" x14ac:dyDescent="0.25">
      <c r="A14" s="121">
        <v>7.9999999999999996E-7</v>
      </c>
      <c r="B14" s="115">
        <v>4.8008635771666199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08C1-0B9E-4BDC-ABD5-607118CFC501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4" width="8.625" bestFit="1" customWidth="1"/>
  </cols>
  <sheetData>
    <row r="1" spans="1:5" ht="17.25" x14ac:dyDescent="0.25">
      <c r="A1" s="118" t="s">
        <v>529</v>
      </c>
      <c r="B1" s="183" t="s">
        <v>530</v>
      </c>
      <c r="C1" s="183" t="s">
        <v>531</v>
      </c>
      <c r="D1" s="111" t="s">
        <v>532</v>
      </c>
      <c r="E1" s="206" t="s">
        <v>533</v>
      </c>
    </row>
    <row r="2" spans="1:5" x14ac:dyDescent="0.25">
      <c r="A2" s="119" t="s">
        <v>616</v>
      </c>
      <c r="B2" s="181">
        <v>6.1999999999999999E-6</v>
      </c>
      <c r="C2" s="181">
        <v>6.4999999999999996E-6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6.1999999999999999E-6</v>
      </c>
      <c r="B4" s="116">
        <v>6.3016871737747184</v>
      </c>
      <c r="C4" s="121">
        <v>6.3366980525162377E-6</v>
      </c>
      <c r="D4" s="121">
        <v>9.6349770606992305E-8</v>
      </c>
    </row>
    <row r="5" spans="1:5" x14ac:dyDescent="0.25">
      <c r="A5" s="121">
        <v>6.2299999999999996E-6</v>
      </c>
      <c r="B5" s="116">
        <v>5.4636901660437012</v>
      </c>
      <c r="C5" s="116"/>
      <c r="D5" s="116"/>
    </row>
    <row r="6" spans="1:5" x14ac:dyDescent="0.25">
      <c r="A6" s="121">
        <v>6.2600000000000002E-6</v>
      </c>
      <c r="B6" s="116">
        <v>4.9982759508857821</v>
      </c>
      <c r="C6" s="116"/>
      <c r="D6" s="116"/>
    </row>
    <row r="7" spans="1:5" x14ac:dyDescent="0.25">
      <c r="A7" s="121">
        <v>6.2899999999999999E-6</v>
      </c>
      <c r="B7" s="116">
        <v>4.5780386407612728</v>
      </c>
      <c r="C7" s="116"/>
      <c r="D7" s="116"/>
    </row>
    <row r="8" spans="1:5" x14ac:dyDescent="0.25">
      <c r="A8" s="121">
        <v>6.3199999999999996E-6</v>
      </c>
      <c r="B8" s="116">
        <v>4.2306966642431494</v>
      </c>
      <c r="C8" s="116"/>
      <c r="D8" s="116"/>
    </row>
    <row r="9" spans="1:5" x14ac:dyDescent="0.25">
      <c r="A9" s="121">
        <v>6.3499999999999993E-6</v>
      </c>
      <c r="B9" s="116">
        <v>4.0289960658917288</v>
      </c>
      <c r="C9" s="116"/>
      <c r="D9" s="116"/>
    </row>
    <row r="10" spans="1:5" x14ac:dyDescent="0.25">
      <c r="A10" s="121">
        <v>6.3799999999999999E-6</v>
      </c>
      <c r="B10" s="116">
        <v>4.8395519306167438</v>
      </c>
      <c r="C10" s="116"/>
      <c r="D10" s="116"/>
    </row>
    <row r="11" spans="1:5" x14ac:dyDescent="0.25">
      <c r="A11" s="121">
        <v>6.4099999999999996E-6</v>
      </c>
      <c r="B11" s="116">
        <v>4.9650873617185844</v>
      </c>
      <c r="C11" s="116"/>
      <c r="D11" s="116"/>
    </row>
    <row r="12" spans="1:5" x14ac:dyDescent="0.25">
      <c r="A12" s="121">
        <v>6.4399999999999993E-6</v>
      </c>
      <c r="B12" s="116">
        <v>5.3177069678262434</v>
      </c>
      <c r="C12" s="116"/>
      <c r="D12" s="116"/>
    </row>
    <row r="13" spans="1:5" x14ac:dyDescent="0.25">
      <c r="A13" s="121">
        <v>6.4699999999999999E-6</v>
      </c>
      <c r="B13" s="116">
        <v>6.0109721223033548</v>
      </c>
      <c r="C13" s="116"/>
      <c r="D13" s="116"/>
    </row>
    <row r="14" spans="1:5" x14ac:dyDescent="0.25">
      <c r="A14" s="121">
        <v>6.4999999999999996E-6</v>
      </c>
      <c r="B14" s="116">
        <v>7.2870316441437897</v>
      </c>
      <c r="C14" s="116"/>
      <c r="D14" s="116"/>
    </row>
    <row r="15" spans="1:5" x14ac:dyDescent="0.25">
      <c r="A15" s="127"/>
      <c r="B15" s="116"/>
      <c r="C15" s="116"/>
      <c r="D15" s="116"/>
    </row>
    <row r="16" spans="1:5" x14ac:dyDescent="0.25">
      <c r="A16" s="127"/>
      <c r="B16" s="116"/>
      <c r="C16" s="116"/>
      <c r="D16" s="116"/>
    </row>
    <row r="17" spans="1:4" x14ac:dyDescent="0.25">
      <c r="A17" s="127"/>
      <c r="B17" s="116"/>
      <c r="C17" s="116"/>
      <c r="D17" s="116"/>
    </row>
    <row r="18" spans="1:4" x14ac:dyDescent="0.25">
      <c r="A18" s="127"/>
      <c r="B18" s="116"/>
      <c r="C18" s="116"/>
      <c r="D18" s="116"/>
    </row>
    <row r="19" spans="1:4" x14ac:dyDescent="0.25">
      <c r="A19" s="127"/>
      <c r="B19" s="116"/>
      <c r="C19" s="116"/>
      <c r="D19" s="116"/>
    </row>
    <row r="20" spans="1:4" x14ac:dyDescent="0.25">
      <c r="A20" s="127"/>
      <c r="B20" s="116"/>
      <c r="C20" s="116"/>
      <c r="D20" s="116"/>
    </row>
    <row r="21" spans="1:4" x14ac:dyDescent="0.25">
      <c r="A21" s="127"/>
      <c r="B21" s="116"/>
      <c r="C21" s="116"/>
      <c r="D21" s="116"/>
    </row>
    <row r="22" spans="1:4" x14ac:dyDescent="0.25">
      <c r="A22" s="127"/>
      <c r="B22" s="116"/>
      <c r="C22" s="116"/>
      <c r="D22" s="116"/>
    </row>
    <row r="23" spans="1:4" x14ac:dyDescent="0.25">
      <c r="A23" s="127"/>
      <c r="B23" s="116"/>
      <c r="C23" s="116"/>
      <c r="D23" s="116"/>
    </row>
    <row r="24" spans="1:4" x14ac:dyDescent="0.25">
      <c r="A24" s="127"/>
      <c r="B24" s="116"/>
      <c r="C24" s="116"/>
      <c r="D24" s="116"/>
    </row>
    <row r="25" spans="1:4" x14ac:dyDescent="0.25">
      <c r="B25" s="116"/>
      <c r="C25" s="116"/>
      <c r="D25" s="116"/>
    </row>
    <row r="26" spans="1:4" x14ac:dyDescent="0.25">
      <c r="B26" s="116"/>
      <c r="C26" s="116"/>
      <c r="D26" s="116"/>
    </row>
    <row r="27" spans="1:4" x14ac:dyDescent="0.25">
      <c r="B27" s="116"/>
      <c r="C27" s="116"/>
      <c r="D27" s="116"/>
    </row>
    <row r="28" spans="1:4" x14ac:dyDescent="0.25">
      <c r="B28" s="116"/>
      <c r="C28" s="116"/>
      <c r="D28" s="116"/>
    </row>
    <row r="29" spans="1:4" x14ac:dyDescent="0.25">
      <c r="B29" s="116"/>
      <c r="C29" s="116"/>
      <c r="D29" s="116"/>
    </row>
    <row r="30" spans="1:4" x14ac:dyDescent="0.25">
      <c r="B30" s="116"/>
      <c r="C30" s="116"/>
      <c r="D30" s="116"/>
    </row>
    <row r="31" spans="1:4" x14ac:dyDescent="0.25">
      <c r="B31" s="116"/>
      <c r="C31" s="116"/>
      <c r="D31" s="116"/>
    </row>
    <row r="32" spans="1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0EA00-A52F-4AFF-A1DB-6352379694DC}">
  <sheetPr codeName="Sheet8">
    <pageSetUpPr fitToPage="1"/>
  </sheetPr>
  <dimension ref="A1:K62"/>
  <sheetViews>
    <sheetView workbookViewId="0">
      <selection activeCell="D62" sqref="D62"/>
    </sheetView>
  </sheetViews>
  <sheetFormatPr defaultRowHeight="15.75" x14ac:dyDescent="0.25"/>
  <cols>
    <col min="1" max="1" width="14.5" style="175" bestFit="1" customWidth="1"/>
    <col min="2" max="2" width="8.125" style="157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5" customFormat="1" ht="17.25" x14ac:dyDescent="0.25">
      <c r="A1" s="114" t="s">
        <v>581</v>
      </c>
      <c r="C1" s="156" t="s">
        <v>541</v>
      </c>
      <c r="D1" s="156"/>
      <c r="E1" s="156"/>
      <c r="F1" s="156"/>
      <c r="G1" s="156"/>
      <c r="H1" s="156"/>
      <c r="I1" s="156"/>
    </row>
    <row r="2" spans="1:11" ht="18.75" x14ac:dyDescent="0.3">
      <c r="A2" s="150">
        <v>0.1</v>
      </c>
      <c r="C2" s="158" t="s">
        <v>582</v>
      </c>
      <c r="D2" s="159" t="s">
        <v>583</v>
      </c>
      <c r="E2" s="160" t="s">
        <v>584</v>
      </c>
      <c r="F2" s="158" t="s">
        <v>585</v>
      </c>
      <c r="G2" s="161" t="s">
        <v>586</v>
      </c>
      <c r="H2" s="161" t="s">
        <v>587</v>
      </c>
      <c r="I2" s="161" t="s">
        <v>588</v>
      </c>
    </row>
    <row r="3" spans="1:11" ht="17.25" x14ac:dyDescent="0.25">
      <c r="A3" s="114" t="s">
        <v>589</v>
      </c>
      <c r="C3" s="162" t="s">
        <v>30</v>
      </c>
      <c r="D3" s="163">
        <v>4</v>
      </c>
      <c r="E3" s="164">
        <v>12.01</v>
      </c>
      <c r="F3" s="164">
        <f>D3*E3</f>
        <v>48.04</v>
      </c>
      <c r="G3" s="165">
        <v>6.6459999999999999</v>
      </c>
      <c r="H3" s="164">
        <f>G3*D3</f>
        <v>26.584</v>
      </c>
      <c r="I3" s="164"/>
    </row>
    <row r="4" spans="1:11" ht="18.75" x14ac:dyDescent="0.25">
      <c r="A4" s="149">
        <v>0</v>
      </c>
      <c r="C4" s="166" t="s">
        <v>590</v>
      </c>
      <c r="D4" s="163">
        <v>0</v>
      </c>
      <c r="E4" s="164">
        <v>2.0099999999999998</v>
      </c>
      <c r="F4" s="164">
        <f>D4*E4</f>
        <v>0</v>
      </c>
      <c r="G4" s="165">
        <v>6.6710000000000003</v>
      </c>
      <c r="H4" s="164">
        <f>G4*D4</f>
        <v>0</v>
      </c>
      <c r="I4" s="164"/>
    </row>
    <row r="5" spans="1:11" ht="18.75" x14ac:dyDescent="0.25">
      <c r="A5" s="114" t="s">
        <v>591</v>
      </c>
      <c r="C5" s="166" t="s">
        <v>592</v>
      </c>
      <c r="D5" s="163">
        <v>6</v>
      </c>
      <c r="E5" s="164">
        <v>1.01</v>
      </c>
      <c r="F5" s="164">
        <f>D5*E5</f>
        <v>6.0600000000000005</v>
      </c>
      <c r="G5" s="165">
        <v>-3.7406000000000001</v>
      </c>
      <c r="H5" s="164">
        <f>G5*D5</f>
        <v>-22.4436</v>
      </c>
      <c r="I5" s="164"/>
    </row>
    <row r="6" spans="1:11" x14ac:dyDescent="0.25">
      <c r="A6" s="149">
        <f>A4*A4</f>
        <v>0</v>
      </c>
      <c r="C6" s="162" t="s">
        <v>33</v>
      </c>
      <c r="D6" s="163">
        <v>0</v>
      </c>
      <c r="E6" s="164">
        <v>14.01</v>
      </c>
      <c r="F6" s="164">
        <f>D6*E6</f>
        <v>0</v>
      </c>
      <c r="G6" s="165">
        <v>9.36</v>
      </c>
      <c r="H6" s="164">
        <f>G6*D6</f>
        <v>0</v>
      </c>
      <c r="I6" s="164"/>
    </row>
    <row r="7" spans="1:11" ht="17.25" x14ac:dyDescent="0.25">
      <c r="A7" s="114" t="s">
        <v>593</v>
      </c>
      <c r="C7" s="162" t="s">
        <v>36</v>
      </c>
      <c r="D7" s="163">
        <v>2</v>
      </c>
      <c r="E7" s="164">
        <v>16</v>
      </c>
      <c r="F7" s="164">
        <f>D7*E7</f>
        <v>32</v>
      </c>
      <c r="G7" s="165">
        <v>5.8029999999999999</v>
      </c>
      <c r="H7" s="164">
        <f>G7*D7</f>
        <v>11.606</v>
      </c>
      <c r="I7" s="164"/>
    </row>
    <row r="8" spans="1:11" x14ac:dyDescent="0.25">
      <c r="A8" s="149">
        <f>A4*(1-A4)</f>
        <v>0</v>
      </c>
      <c r="C8" s="167"/>
      <c r="D8" s="168"/>
      <c r="E8" s="169"/>
      <c r="F8" s="170">
        <f>SUM(F3:F7)</f>
        <v>86.1</v>
      </c>
      <c r="G8" s="199">
        <f>SUMPRODUCT(D3:D7,G3:G7)</f>
        <v>15.7464</v>
      </c>
      <c r="H8" s="170">
        <f>SUM(H3:H7)</f>
        <v>15.7464</v>
      </c>
      <c r="I8" s="172">
        <f>6.02E+23*0.00000001*0.00001*H8/F8</f>
        <v>11009678048.780491</v>
      </c>
    </row>
    <row r="9" spans="1:11" ht="17.25" x14ac:dyDescent="0.25">
      <c r="A9" s="114" t="s">
        <v>594</v>
      </c>
      <c r="C9" s="155"/>
      <c r="D9" s="173"/>
      <c r="F9" s="174"/>
    </row>
    <row r="10" spans="1:11" x14ac:dyDescent="0.25">
      <c r="A10" s="149">
        <f>A4*(1-A4)</f>
        <v>0</v>
      </c>
      <c r="C10" s="156" t="s">
        <v>539</v>
      </c>
      <c r="D10" s="156"/>
      <c r="E10" s="156"/>
      <c r="F10" s="156"/>
      <c r="G10" s="156"/>
      <c r="H10" s="156"/>
      <c r="I10" s="156"/>
    </row>
    <row r="11" spans="1:11" ht="18.75" x14ac:dyDescent="0.3">
      <c r="A11" s="114" t="s">
        <v>595</v>
      </c>
      <c r="C11" s="158" t="s">
        <v>582</v>
      </c>
      <c r="D11" s="159" t="s">
        <v>583</v>
      </c>
      <c r="E11" s="160" t="s">
        <v>584</v>
      </c>
      <c r="F11" s="158" t="s">
        <v>585</v>
      </c>
      <c r="G11" s="161" t="s">
        <v>586</v>
      </c>
      <c r="H11" s="161" t="s">
        <v>587</v>
      </c>
      <c r="I11" s="161" t="s">
        <v>588</v>
      </c>
      <c r="K11" s="1"/>
    </row>
    <row r="12" spans="1:11" x14ac:dyDescent="0.25">
      <c r="A12" s="149">
        <f>(1-A4)*(1-A4)</f>
        <v>1</v>
      </c>
      <c r="C12" s="162" t="s">
        <v>30</v>
      </c>
      <c r="D12" s="163">
        <v>4</v>
      </c>
      <c r="E12" s="164">
        <v>12.01</v>
      </c>
      <c r="F12" s="164">
        <f>D12*E12</f>
        <v>48.04</v>
      </c>
      <c r="G12" s="165">
        <v>6.6459999999999999</v>
      </c>
      <c r="H12" s="164">
        <f>G12*D12</f>
        <v>26.584</v>
      </c>
      <c r="I12" s="164"/>
    </row>
    <row r="13" spans="1:11" ht="18.75" x14ac:dyDescent="0.25">
      <c r="A13" s="114" t="s">
        <v>661</v>
      </c>
      <c r="C13" s="166" t="s">
        <v>590</v>
      </c>
      <c r="D13" s="163">
        <v>5</v>
      </c>
      <c r="E13" s="164">
        <v>2.0099999999999998</v>
      </c>
      <c r="F13" s="164">
        <f>D13*E13</f>
        <v>10.049999999999999</v>
      </c>
      <c r="G13" s="165">
        <v>6.6710000000000003</v>
      </c>
      <c r="H13" s="164">
        <f>G13*D13</f>
        <v>33.355000000000004</v>
      </c>
      <c r="I13" s="164"/>
    </row>
    <row r="14" spans="1:11" ht="18.75" x14ac:dyDescent="0.25">
      <c r="A14" s="141">
        <f>0.0000000000000001*(2*(1-A2)*((1-A4)*I8+A4*I17)+A2*(A6*I35+A8*I44+A10*I44+A12*I26))/2</f>
        <v>1.0475138631919562E-6</v>
      </c>
      <c r="C14" s="166" t="s">
        <v>592</v>
      </c>
      <c r="D14" s="163">
        <v>1</v>
      </c>
      <c r="E14" s="164">
        <v>1.01</v>
      </c>
      <c r="F14" s="164">
        <f>D14*E14</f>
        <v>1.01</v>
      </c>
      <c r="G14" s="165">
        <v>-3.7406000000000001</v>
      </c>
      <c r="H14" s="164">
        <f>G14*D14</f>
        <v>-3.7406000000000001</v>
      </c>
      <c r="I14" s="164"/>
    </row>
    <row r="15" spans="1:11" ht="18.75" x14ac:dyDescent="0.25">
      <c r="A15" s="114" t="s">
        <v>662</v>
      </c>
      <c r="C15" s="162" t="s">
        <v>33</v>
      </c>
      <c r="D15" s="163">
        <v>0</v>
      </c>
      <c r="E15" s="164">
        <v>14.01</v>
      </c>
      <c r="F15" s="164">
        <f>D15*E15</f>
        <v>0</v>
      </c>
      <c r="G15" s="165">
        <v>9.36</v>
      </c>
      <c r="H15" s="164">
        <f>G15*D15</f>
        <v>0</v>
      </c>
      <c r="I15" s="164"/>
    </row>
    <row r="16" spans="1:11" x14ac:dyDescent="0.25">
      <c r="A16" s="149">
        <f>(2*(1-A2)*((1-A4)*F8+A4*F17)+A2*(A6*F35+A8*F44+A10*F44+A12*F26))/2</f>
        <v>87.304000000000002</v>
      </c>
      <c r="C16" s="162" t="s">
        <v>36</v>
      </c>
      <c r="D16" s="163">
        <v>2</v>
      </c>
      <c r="E16" s="164">
        <v>16</v>
      </c>
      <c r="F16" s="164">
        <f>D16*E16</f>
        <v>32</v>
      </c>
      <c r="G16" s="165">
        <v>5.8029999999999999</v>
      </c>
      <c r="H16" s="164">
        <f>G16*D16</f>
        <v>11.606</v>
      </c>
      <c r="I16" s="164"/>
    </row>
    <row r="17" spans="1:9" ht="17.25" x14ac:dyDescent="0.25">
      <c r="A17" s="114" t="s">
        <v>663</v>
      </c>
      <c r="C17" s="167"/>
      <c r="D17" s="168"/>
      <c r="E17" s="169"/>
      <c r="F17" s="170">
        <f>SUM(F12:F16)</f>
        <v>91.1</v>
      </c>
      <c r="G17" s="171"/>
      <c r="H17" s="170">
        <f>SUM(H12:H16)</f>
        <v>67.804400000000001</v>
      </c>
      <c r="I17" s="172">
        <f>6.02E+23*0.00000001*0.00001*H17/F17</f>
        <v>44805981119.648743</v>
      </c>
    </row>
    <row r="18" spans="1:9" x14ac:dyDescent="0.25">
      <c r="A18" s="200">
        <f>0.00001*((1-A2)*G8+A2*G26/2)</f>
        <v>1.601858E-4</v>
      </c>
      <c r="C18" s="175"/>
      <c r="D18" s="157"/>
      <c r="F18" s="176"/>
      <c r="G18" s="1"/>
      <c r="H18" s="1"/>
    </row>
    <row r="19" spans="1:9" x14ac:dyDescent="0.25">
      <c r="A19"/>
      <c r="C19" s="156" t="s">
        <v>596</v>
      </c>
      <c r="D19" s="156"/>
      <c r="E19" s="156"/>
      <c r="F19" s="156"/>
      <c r="G19" s="156"/>
      <c r="H19" s="156"/>
      <c r="I19" s="156"/>
    </row>
    <row r="20" spans="1:9" ht="18.75" x14ac:dyDescent="0.3">
      <c r="C20" s="158" t="s">
        <v>582</v>
      </c>
      <c r="D20" s="159" t="s">
        <v>583</v>
      </c>
      <c r="E20" s="160" t="s">
        <v>584</v>
      </c>
      <c r="F20" s="158" t="s">
        <v>585</v>
      </c>
      <c r="G20" s="161" t="s">
        <v>586</v>
      </c>
      <c r="H20" s="161" t="s">
        <v>587</v>
      </c>
      <c r="I20" s="161" t="s">
        <v>588</v>
      </c>
    </row>
    <row r="21" spans="1:9" x14ac:dyDescent="0.25">
      <c r="C21" s="162" t="s">
        <v>30</v>
      </c>
      <c r="D21" s="163">
        <v>10</v>
      </c>
      <c r="E21" s="164">
        <v>12.01</v>
      </c>
      <c r="F21" s="164">
        <f>D21*E21</f>
        <v>120.1</v>
      </c>
      <c r="G21" s="165">
        <v>6.6459999999999999</v>
      </c>
      <c r="H21" s="164">
        <f>G21*D21</f>
        <v>66.459999999999994</v>
      </c>
      <c r="I21" s="164"/>
    </row>
    <row r="22" spans="1:9" ht="18.75" x14ac:dyDescent="0.25">
      <c r="A22" s="177"/>
      <c r="C22" s="166" t="s">
        <v>590</v>
      </c>
      <c r="D22" s="163">
        <v>0</v>
      </c>
      <c r="E22" s="164">
        <v>2.0099999999999998</v>
      </c>
      <c r="F22" s="164">
        <f>D22*E22</f>
        <v>0</v>
      </c>
      <c r="G22" s="165">
        <v>6.6710000000000003</v>
      </c>
      <c r="H22" s="164">
        <f>G22*D22</f>
        <v>0</v>
      </c>
      <c r="I22" s="164"/>
    </row>
    <row r="23" spans="1:9" ht="18.75" x14ac:dyDescent="0.25">
      <c r="C23" s="166" t="s">
        <v>592</v>
      </c>
      <c r="D23" s="163">
        <v>16</v>
      </c>
      <c r="E23" s="164">
        <v>1.01</v>
      </c>
      <c r="F23" s="164">
        <f>D23*E23</f>
        <v>16.16</v>
      </c>
      <c r="G23" s="165">
        <v>-3.7406000000000001</v>
      </c>
      <c r="H23" s="164">
        <f>G23*D23</f>
        <v>-59.849600000000002</v>
      </c>
      <c r="I23" s="164"/>
    </row>
    <row r="24" spans="1:9" x14ac:dyDescent="0.25">
      <c r="C24" s="162" t="s">
        <v>33</v>
      </c>
      <c r="D24" s="163">
        <v>2</v>
      </c>
      <c r="E24" s="164">
        <v>14.01</v>
      </c>
      <c r="F24" s="164">
        <f>D24*E24</f>
        <v>28.02</v>
      </c>
      <c r="G24" s="165">
        <v>9.36</v>
      </c>
      <c r="H24" s="164">
        <f>G24*D24</f>
        <v>18.72</v>
      </c>
      <c r="I24" s="164"/>
    </row>
    <row r="25" spans="1:9" x14ac:dyDescent="0.25">
      <c r="C25" s="162" t="s">
        <v>36</v>
      </c>
      <c r="D25" s="163">
        <v>2</v>
      </c>
      <c r="E25" s="164">
        <v>16</v>
      </c>
      <c r="F25" s="164">
        <f>D25*E25</f>
        <v>32</v>
      </c>
      <c r="G25" s="165">
        <v>5.8029999999999999</v>
      </c>
      <c r="H25" s="164">
        <f>G25*D25</f>
        <v>11.606</v>
      </c>
      <c r="I25" s="164"/>
    </row>
    <row r="26" spans="1:9" x14ac:dyDescent="0.25">
      <c r="C26" s="167"/>
      <c r="D26" s="168"/>
      <c r="E26" s="169"/>
      <c r="F26" s="170">
        <f>SUM(F21:F25)</f>
        <v>196.28</v>
      </c>
      <c r="G26" s="199">
        <f>SUMPRODUCT(D21:D25,G21:G25)</f>
        <v>36.936399999999992</v>
      </c>
      <c r="H26" s="170">
        <f>SUM(H21:H25)</f>
        <v>36.936399999999992</v>
      </c>
      <c r="I26" s="172">
        <f>6.02E+23*0.00000001*0.00001*H26/F26</f>
        <v>11328567760.342367</v>
      </c>
    </row>
    <row r="28" spans="1:9" x14ac:dyDescent="0.25">
      <c r="C28" s="156" t="s">
        <v>597</v>
      </c>
      <c r="D28" s="156"/>
      <c r="E28" s="156"/>
      <c r="F28" s="156"/>
      <c r="G28" s="156"/>
      <c r="H28" s="156"/>
      <c r="I28" s="156"/>
    </row>
    <row r="29" spans="1:9" ht="18.75" x14ac:dyDescent="0.3">
      <c r="C29" s="158" t="s">
        <v>582</v>
      </c>
      <c r="D29" s="159" t="s">
        <v>583</v>
      </c>
      <c r="E29" s="160" t="s">
        <v>584</v>
      </c>
      <c r="F29" s="158" t="s">
        <v>585</v>
      </c>
      <c r="G29" s="161" t="s">
        <v>586</v>
      </c>
      <c r="H29" s="161" t="s">
        <v>587</v>
      </c>
      <c r="I29" s="161" t="s">
        <v>588</v>
      </c>
    </row>
    <row r="30" spans="1:9" x14ac:dyDescent="0.25">
      <c r="C30" s="162" t="s">
        <v>30</v>
      </c>
      <c r="D30" s="163">
        <v>10</v>
      </c>
      <c r="E30" s="164">
        <v>12.01</v>
      </c>
      <c r="F30" s="164">
        <f>D30*E30</f>
        <v>120.1</v>
      </c>
      <c r="G30" s="165">
        <v>6.6459999999999999</v>
      </c>
      <c r="H30" s="164">
        <f>G30*D30</f>
        <v>66.459999999999994</v>
      </c>
      <c r="I30" s="164"/>
    </row>
    <row r="31" spans="1:9" ht="18.75" x14ac:dyDescent="0.25">
      <c r="C31" s="166" t="s">
        <v>590</v>
      </c>
      <c r="D31" s="163">
        <v>12</v>
      </c>
      <c r="E31" s="164">
        <v>2.0099999999999998</v>
      </c>
      <c r="F31" s="164">
        <f>D31*E31</f>
        <v>24.119999999999997</v>
      </c>
      <c r="G31" s="165">
        <v>6.6710000000000003</v>
      </c>
      <c r="H31" s="164">
        <f>G31*D31</f>
        <v>80.052000000000007</v>
      </c>
      <c r="I31" s="164"/>
    </row>
    <row r="32" spans="1:9" ht="18.75" x14ac:dyDescent="0.25">
      <c r="C32" s="166" t="s">
        <v>592</v>
      </c>
      <c r="D32" s="163">
        <v>4</v>
      </c>
      <c r="E32" s="164">
        <v>1.01</v>
      </c>
      <c r="F32" s="164">
        <f>D32*E32</f>
        <v>4.04</v>
      </c>
      <c r="G32" s="165">
        <v>-3.7406000000000001</v>
      </c>
      <c r="H32" s="164">
        <f>G32*D32</f>
        <v>-14.962400000000001</v>
      </c>
      <c r="I32" s="164"/>
    </row>
    <row r="33" spans="3:9" x14ac:dyDescent="0.25">
      <c r="C33" s="162" t="s">
        <v>33</v>
      </c>
      <c r="D33" s="163">
        <v>2</v>
      </c>
      <c r="E33" s="164">
        <v>14.01</v>
      </c>
      <c r="F33" s="164">
        <f>D33*E33</f>
        <v>28.02</v>
      </c>
      <c r="G33" s="165">
        <v>9.36</v>
      </c>
      <c r="H33" s="164">
        <f>G33*D33</f>
        <v>18.72</v>
      </c>
      <c r="I33" s="164"/>
    </row>
    <row r="34" spans="3:9" x14ac:dyDescent="0.25">
      <c r="C34" s="162" t="s">
        <v>36</v>
      </c>
      <c r="D34" s="163">
        <v>2</v>
      </c>
      <c r="E34" s="164">
        <v>16</v>
      </c>
      <c r="F34" s="164">
        <f>D34*E34</f>
        <v>32</v>
      </c>
      <c r="G34" s="165">
        <v>5.8029999999999999</v>
      </c>
      <c r="H34" s="164">
        <f>G34*D34</f>
        <v>11.606</v>
      </c>
      <c r="I34" s="164"/>
    </row>
    <row r="35" spans="3:9" x14ac:dyDescent="0.25">
      <c r="C35" s="167"/>
      <c r="D35" s="168"/>
      <c r="E35" s="169"/>
      <c r="F35" s="170">
        <f>SUM(F30:F34)</f>
        <v>208.28</v>
      </c>
      <c r="G35" s="171"/>
      <c r="H35" s="170">
        <f>SUM(H30:H34)</f>
        <v>161.87559999999999</v>
      </c>
      <c r="I35" s="172">
        <f>6.02E+23*0.00000001*0.00001*H35/F35</f>
        <v>46787550989.0532</v>
      </c>
    </row>
    <row r="37" spans="3:9" x14ac:dyDescent="0.25">
      <c r="C37" s="156" t="s">
        <v>598</v>
      </c>
      <c r="D37" s="156"/>
      <c r="E37" s="156"/>
      <c r="F37" s="156"/>
      <c r="G37" s="156"/>
      <c r="H37" s="156"/>
      <c r="I37" s="156"/>
    </row>
    <row r="38" spans="3:9" ht="18.75" x14ac:dyDescent="0.3">
      <c r="C38" s="158" t="s">
        <v>582</v>
      </c>
      <c r="D38" s="159" t="s">
        <v>583</v>
      </c>
      <c r="E38" s="160" t="s">
        <v>584</v>
      </c>
      <c r="F38" s="158" t="s">
        <v>585</v>
      </c>
      <c r="G38" s="161" t="s">
        <v>586</v>
      </c>
      <c r="H38" s="161" t="s">
        <v>587</v>
      </c>
      <c r="I38" s="161" t="s">
        <v>588</v>
      </c>
    </row>
    <row r="39" spans="3:9" x14ac:dyDescent="0.25">
      <c r="C39" s="162" t="s">
        <v>30</v>
      </c>
      <c r="D39" s="163">
        <v>10</v>
      </c>
      <c r="E39" s="164">
        <v>12.01</v>
      </c>
      <c r="F39" s="164">
        <f>D39*E39</f>
        <v>120.1</v>
      </c>
      <c r="G39" s="165">
        <v>6.6459999999999999</v>
      </c>
      <c r="H39" s="164">
        <f>G39*D39</f>
        <v>66.459999999999994</v>
      </c>
      <c r="I39" s="164"/>
    </row>
    <row r="40" spans="3:9" ht="18.75" x14ac:dyDescent="0.25">
      <c r="C40" s="166" t="s">
        <v>590</v>
      </c>
      <c r="D40" s="163">
        <v>6</v>
      </c>
      <c r="E40" s="164">
        <v>2.0099999999999998</v>
      </c>
      <c r="F40" s="164">
        <f>D40*E40</f>
        <v>12.059999999999999</v>
      </c>
      <c r="G40" s="165">
        <v>6.6710000000000003</v>
      </c>
      <c r="H40" s="164">
        <f>G40*D40</f>
        <v>40.026000000000003</v>
      </c>
      <c r="I40" s="164"/>
    </row>
    <row r="41" spans="3:9" ht="18.75" x14ac:dyDescent="0.25">
      <c r="C41" s="166" t="s">
        <v>592</v>
      </c>
      <c r="D41" s="163">
        <v>10</v>
      </c>
      <c r="E41" s="164">
        <v>1.01</v>
      </c>
      <c r="F41" s="164">
        <f>D41*E41</f>
        <v>10.1</v>
      </c>
      <c r="G41" s="165">
        <v>-3.7406000000000001</v>
      </c>
      <c r="H41" s="164">
        <f>G41*D41</f>
        <v>-37.405999999999999</v>
      </c>
      <c r="I41" s="164"/>
    </row>
    <row r="42" spans="3:9" x14ac:dyDescent="0.25">
      <c r="C42" s="162" t="s">
        <v>33</v>
      </c>
      <c r="D42" s="163">
        <v>2</v>
      </c>
      <c r="E42" s="164">
        <v>14.01</v>
      </c>
      <c r="F42" s="164">
        <f>D42*E42</f>
        <v>28.02</v>
      </c>
      <c r="G42" s="165">
        <v>9.36</v>
      </c>
      <c r="H42" s="164">
        <f>G42*D42</f>
        <v>18.72</v>
      </c>
      <c r="I42" s="164"/>
    </row>
    <row r="43" spans="3:9" x14ac:dyDescent="0.25">
      <c r="C43" s="162" t="s">
        <v>36</v>
      </c>
      <c r="D43" s="163">
        <v>2</v>
      </c>
      <c r="E43" s="164">
        <v>16</v>
      </c>
      <c r="F43" s="164">
        <f>D43*E43</f>
        <v>32</v>
      </c>
      <c r="G43" s="165">
        <v>5.8029999999999999</v>
      </c>
      <c r="H43" s="164">
        <f>G43*D43</f>
        <v>11.606</v>
      </c>
      <c r="I43" s="164"/>
    </row>
    <row r="44" spans="3:9" x14ac:dyDescent="0.25">
      <c r="C44" s="167"/>
      <c r="D44" s="168"/>
      <c r="E44" s="169"/>
      <c r="F44" s="170">
        <f>SUM(F39:F43)</f>
        <v>202.28</v>
      </c>
      <c r="G44" s="171"/>
      <c r="H44" s="170">
        <f>SUM(H39:H43)</f>
        <v>99.405999999999977</v>
      </c>
      <c r="I44" s="172">
        <f>6.02E+23*0.00000001*0.00001*H44/F44</f>
        <v>29583948981.609646</v>
      </c>
    </row>
    <row r="46" spans="3:9" x14ac:dyDescent="0.25">
      <c r="C46" s="156" t="s">
        <v>599</v>
      </c>
      <c r="D46" s="156"/>
      <c r="E46" s="156"/>
      <c r="F46" s="156"/>
      <c r="G46" s="156"/>
      <c r="H46" s="156"/>
      <c r="I46" s="156"/>
    </row>
    <row r="47" spans="3:9" ht="18.75" x14ac:dyDescent="0.3">
      <c r="C47" s="158" t="s">
        <v>582</v>
      </c>
      <c r="D47" s="159" t="s">
        <v>583</v>
      </c>
      <c r="E47" s="160" t="s">
        <v>584</v>
      </c>
      <c r="F47" s="158" t="s">
        <v>585</v>
      </c>
      <c r="G47" s="161" t="s">
        <v>586</v>
      </c>
      <c r="H47" s="161" t="s">
        <v>587</v>
      </c>
      <c r="I47" s="161" t="s">
        <v>588</v>
      </c>
    </row>
    <row r="48" spans="3:9" x14ac:dyDescent="0.25">
      <c r="C48" s="162" t="s">
        <v>30</v>
      </c>
      <c r="D48" s="163">
        <v>2</v>
      </c>
      <c r="E48" s="164">
        <v>12.01</v>
      </c>
      <c r="F48" s="164">
        <f>D48*E48</f>
        <v>24.02</v>
      </c>
      <c r="G48" s="165">
        <v>6.6459999999999999</v>
      </c>
      <c r="H48" s="164">
        <f>G48*D48</f>
        <v>13.292</v>
      </c>
      <c r="I48" s="164"/>
    </row>
    <row r="49" spans="3:9" ht="18.75" x14ac:dyDescent="0.25">
      <c r="C49" s="166" t="s">
        <v>590</v>
      </c>
      <c r="D49" s="163">
        <v>0</v>
      </c>
      <c r="E49" s="164">
        <v>2.0099999999999998</v>
      </c>
      <c r="F49" s="164">
        <f>D49*E49</f>
        <v>0</v>
      </c>
      <c r="G49" s="165">
        <v>6.6710000000000003</v>
      </c>
      <c r="H49" s="164">
        <f>G49*D49</f>
        <v>0</v>
      </c>
      <c r="I49" s="164"/>
    </row>
    <row r="50" spans="3:9" ht="18.75" x14ac:dyDescent="0.25">
      <c r="C50" s="166" t="s">
        <v>592</v>
      </c>
      <c r="D50" s="163">
        <v>8</v>
      </c>
      <c r="E50" s="164">
        <v>1.01</v>
      </c>
      <c r="F50" s="164">
        <f>D50*E50</f>
        <v>8.08</v>
      </c>
      <c r="G50" s="165">
        <v>-3.7406000000000001</v>
      </c>
      <c r="H50" s="164">
        <f>G50*D50</f>
        <v>-29.924800000000001</v>
      </c>
      <c r="I50" s="164"/>
    </row>
    <row r="51" spans="3:9" x14ac:dyDescent="0.25">
      <c r="C51" s="162" t="s">
        <v>33</v>
      </c>
      <c r="D51" s="163">
        <v>2</v>
      </c>
      <c r="E51" s="164">
        <v>14.01</v>
      </c>
      <c r="F51" s="164">
        <f>D51*E51</f>
        <v>28.02</v>
      </c>
      <c r="G51" s="165">
        <v>9.36</v>
      </c>
      <c r="H51" s="164">
        <f>G51*D51</f>
        <v>18.72</v>
      </c>
      <c r="I51" s="164"/>
    </row>
    <row r="52" spans="3:9" x14ac:dyDescent="0.25">
      <c r="C52" s="162" t="s">
        <v>36</v>
      </c>
      <c r="D52" s="163">
        <v>0</v>
      </c>
      <c r="E52" s="164">
        <v>16</v>
      </c>
      <c r="F52" s="164">
        <f>D52*E52</f>
        <v>0</v>
      </c>
      <c r="G52" s="165">
        <v>5.8029999999999999</v>
      </c>
      <c r="H52" s="164">
        <f>G52*D52</f>
        <v>0</v>
      </c>
      <c r="I52" s="164"/>
    </row>
    <row r="53" spans="3:9" x14ac:dyDescent="0.25">
      <c r="C53" s="167"/>
      <c r="D53" s="168"/>
      <c r="E53" s="169"/>
      <c r="F53" s="170">
        <f>SUM(F48:F52)</f>
        <v>60.120000000000005</v>
      </c>
      <c r="G53" s="171"/>
      <c r="H53" s="170">
        <f>SUM(H48:H52)</f>
        <v>2.0871999999999957</v>
      </c>
      <c r="I53" s="172">
        <f>6.02E+23*0.00000001*0.00001*H53/F53</f>
        <v>2089977378.5761766</v>
      </c>
    </row>
    <row r="55" spans="3:9" ht="17.25" x14ac:dyDescent="0.3">
      <c r="C55" s="156" t="s">
        <v>664</v>
      </c>
      <c r="D55" s="156"/>
      <c r="E55" s="156"/>
      <c r="F55" s="156"/>
      <c r="G55" s="156"/>
      <c r="H55" s="156"/>
      <c r="I55" s="156"/>
    </row>
    <row r="56" spans="3:9" ht="18.75" x14ac:dyDescent="0.3">
      <c r="C56" s="158" t="s">
        <v>582</v>
      </c>
      <c r="D56" s="159" t="s">
        <v>583</v>
      </c>
      <c r="E56" s="160" t="s">
        <v>584</v>
      </c>
      <c r="F56" s="158" t="s">
        <v>585</v>
      </c>
      <c r="G56" s="161" t="s">
        <v>586</v>
      </c>
      <c r="H56" s="161" t="s">
        <v>587</v>
      </c>
      <c r="I56" s="161" t="s">
        <v>588</v>
      </c>
    </row>
    <row r="57" spans="3:9" x14ac:dyDescent="0.25">
      <c r="C57" s="162" t="s">
        <v>30</v>
      </c>
      <c r="D57" s="163">
        <v>0</v>
      </c>
      <c r="E57" s="164">
        <v>12.01</v>
      </c>
      <c r="F57" s="164">
        <f>D57*E57</f>
        <v>0</v>
      </c>
      <c r="G57" s="165">
        <v>6.6459999999999999</v>
      </c>
      <c r="H57" s="164">
        <f>G57*D57</f>
        <v>0</v>
      </c>
      <c r="I57" s="164"/>
    </row>
    <row r="58" spans="3:9" ht="18.75" x14ac:dyDescent="0.25">
      <c r="C58" s="166" t="s">
        <v>590</v>
      </c>
      <c r="D58" s="163">
        <v>2</v>
      </c>
      <c r="E58" s="164">
        <v>2.0099999999999998</v>
      </c>
      <c r="F58" s="164">
        <f>D58*E58</f>
        <v>4.0199999999999996</v>
      </c>
      <c r="G58" s="165">
        <v>6.6710000000000003</v>
      </c>
      <c r="H58" s="164">
        <f>G58*D58</f>
        <v>13.342000000000001</v>
      </c>
      <c r="I58" s="164"/>
    </row>
    <row r="59" spans="3:9" ht="18.75" x14ac:dyDescent="0.25">
      <c r="C59" s="166" t="s">
        <v>592</v>
      </c>
      <c r="D59" s="163">
        <v>0</v>
      </c>
      <c r="E59" s="164">
        <v>1.01</v>
      </c>
      <c r="F59" s="164">
        <f>D59*E59</f>
        <v>0</v>
      </c>
      <c r="G59" s="165">
        <v>-3.7406000000000001</v>
      </c>
      <c r="H59" s="164">
        <f>G59*D59</f>
        <v>0</v>
      </c>
      <c r="I59" s="164"/>
    </row>
    <row r="60" spans="3:9" x14ac:dyDescent="0.25">
      <c r="C60" s="162" t="s">
        <v>33</v>
      </c>
      <c r="D60" s="163">
        <v>0</v>
      </c>
      <c r="E60" s="164">
        <v>14.01</v>
      </c>
      <c r="F60" s="164">
        <f>D60*E60</f>
        <v>0</v>
      </c>
      <c r="G60" s="165">
        <v>9.36</v>
      </c>
      <c r="H60" s="164">
        <f>G60*D60</f>
        <v>0</v>
      </c>
      <c r="I60" s="164"/>
    </row>
    <row r="61" spans="3:9" x14ac:dyDescent="0.25">
      <c r="C61" s="162" t="s">
        <v>36</v>
      </c>
      <c r="D61" s="163">
        <v>1</v>
      </c>
      <c r="E61" s="164">
        <v>16</v>
      </c>
      <c r="F61" s="164">
        <f>D61*E61</f>
        <v>16</v>
      </c>
      <c r="G61" s="165">
        <v>5.8029999999999999</v>
      </c>
      <c r="H61" s="164">
        <f>G61*D61</f>
        <v>5.8029999999999999</v>
      </c>
      <c r="I61" s="164"/>
    </row>
    <row r="62" spans="3:9" x14ac:dyDescent="0.25">
      <c r="C62" s="167"/>
      <c r="D62" s="168"/>
      <c r="E62" s="169"/>
      <c r="F62" s="170">
        <f>SUM(F57:F61)</f>
        <v>20.02</v>
      </c>
      <c r="G62" s="199">
        <f>SUMPRODUCT(D57:D61,G57:G61)</f>
        <v>19.145</v>
      </c>
      <c r="H62" s="170">
        <f>SUM(H57:H61)</f>
        <v>19.145</v>
      </c>
      <c r="I62" s="172">
        <f>6.02E+23*0.00000001*0.00001*H62/F62</f>
        <v>57568881118.881119</v>
      </c>
    </row>
  </sheetData>
  <pageMargins left="0.7" right="0.7" top="0.75" bottom="0.75" header="0.3" footer="0.3"/>
  <pageSetup scale="8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E495"/>
  <sheetViews>
    <sheetView workbookViewId="0"/>
  </sheetViews>
  <sheetFormatPr defaultRowHeight="15.75" x14ac:dyDescent="0.25"/>
  <cols>
    <col min="1" max="1" width="4.25" bestFit="1" customWidth="1"/>
    <col min="2" max="2" width="15" style="1" bestFit="1" customWidth="1"/>
    <col min="3" max="3" width="10.375" style="1" bestFit="1" customWidth="1"/>
    <col min="4" max="4" width="27.875" style="1" bestFit="1" customWidth="1"/>
    <col min="5" max="5" width="28.125" style="1" bestFit="1" customWidth="1"/>
    <col min="6" max="6" width="13.875" style="1" bestFit="1" customWidth="1"/>
    <col min="7" max="7" width="9.5" style="1" bestFit="1" customWidth="1"/>
    <col min="8" max="8" width="9.875" style="1" bestFit="1" customWidth="1"/>
    <col min="9" max="10" width="8.625" style="1" bestFit="1" customWidth="1"/>
    <col min="11" max="11" width="10.75" style="1" bestFit="1" customWidth="1"/>
    <col min="12" max="12" width="8.625" style="1" bestFit="1" customWidth="1"/>
    <col min="13" max="13" width="12.625" style="1" bestFit="1" customWidth="1"/>
    <col min="14" max="14" width="8.5" style="1" bestFit="1" customWidth="1"/>
    <col min="15" max="15" width="12.37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23.875" style="1" customWidth="1"/>
    <col min="21" max="21" width="12.5" style="1" customWidth="1"/>
    <col min="22" max="22" width="2.75" style="1" customWidth="1"/>
    <col min="23" max="23" width="5.5" style="1" customWidth="1"/>
    <col min="24" max="24" width="8.375" style="1" customWidth="1"/>
    <col min="25" max="25" width="1.25" style="1" customWidth="1"/>
    <col min="26" max="26" width="6.625" style="1" customWidth="1"/>
    <col min="27" max="28" width="4.125" style="1" customWidth="1"/>
    <col min="29" max="29" width="5.5" style="1" customWidth="1"/>
    <col min="30" max="30" width="6.625" style="1" customWidth="1"/>
    <col min="31" max="31" width="7.125" style="1" customWidth="1"/>
    <col min="32" max="32" width="6.625" style="1" customWidth="1"/>
    <col min="33" max="34" width="4.125" style="1" customWidth="1"/>
    <col min="35" max="35" width="28.875" style="1" bestFit="1" customWidth="1"/>
    <col min="36" max="36" width="8.625" style="1" bestFit="1" customWidth="1"/>
    <col min="37" max="37" width="28.875" style="1" bestFit="1" customWidth="1"/>
    <col min="38" max="38" width="8.625" style="1" bestFit="1" customWidth="1"/>
    <col min="39" max="39" width="13.125" style="1" customWidth="1"/>
    <col min="40" max="40" width="6.5" style="1" bestFit="1" customWidth="1"/>
    <col min="41" max="41" width="8.625" style="1" bestFit="1" customWidth="1"/>
    <col min="42" max="42" width="6.25" style="1" bestFit="1" customWidth="1"/>
    <col min="43" max="43" width="13.125" style="1" bestFit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22.875" bestFit="1" customWidth="1"/>
    <col min="59" max="59" width="18.625" bestFit="1" customWidth="1"/>
    <col min="60" max="60" width="8.125" customWidth="1"/>
    <col min="61" max="61" width="18.625" bestFit="1" customWidth="1"/>
    <col min="62" max="62" width="10.375" bestFit="1" customWidth="1"/>
    <col min="63" max="63" width="1.875" bestFit="1" customWidth="1"/>
    <col min="64" max="64" width="5.375" bestFit="1" customWidth="1"/>
    <col min="65" max="65" width="8.125" bestFit="1" customWidth="1"/>
    <col min="66" max="66" width="5" customWidth="1"/>
    <col min="67" max="67" width="7.375" customWidth="1"/>
    <col min="68" max="68" width="16.875" customWidth="1"/>
    <col min="69" max="69" width="7.5" customWidth="1"/>
    <col min="70" max="70" width="4" customWidth="1"/>
    <col min="71" max="71" width="6.125" customWidth="1"/>
    <col min="72" max="72" width="3.75" customWidth="1"/>
    <col min="73" max="73" width="8.625" customWidth="1"/>
    <col min="74" max="74" width="13" customWidth="1"/>
    <col min="75" max="75" width="3.75" bestFit="1" customWidth="1"/>
    <col min="76" max="76" width="8.625" bestFit="1" customWidth="1"/>
    <col min="77" max="77" width="13" bestFit="1" customWidth="1"/>
    <col min="78" max="78" width="1.375" bestFit="1" customWidth="1"/>
    <col min="79" max="79" width="16.875" bestFit="1" customWidth="1"/>
    <col min="80" max="80" width="7.5" bestFit="1" customWidth="1"/>
    <col min="81" max="81" width="4" bestFit="1" customWidth="1"/>
    <col min="82" max="82" width="6.125" bestFit="1" customWidth="1"/>
    <col min="83" max="83" width="3.75" bestFit="1" customWidth="1"/>
    <col min="84" max="84" width="8.625" bestFit="1" customWidth="1"/>
    <col min="85" max="85" width="13" bestFit="1" customWidth="1"/>
    <col min="86" max="86" width="8.125" bestFit="1" customWidth="1"/>
    <col min="87" max="87" width="25.375" customWidth="1"/>
    <col min="88" max="88" width="7.375" customWidth="1"/>
    <col min="89" max="89" width="25.375" customWidth="1"/>
    <col min="90" max="90" width="7.375" customWidth="1"/>
    <col min="91" max="91" width="16.875" customWidth="1"/>
    <col min="92" max="92" width="7.5" customWidth="1"/>
    <col min="93" max="93" width="4" customWidth="1"/>
    <col min="94" max="94" width="6.125" customWidth="1"/>
    <col min="95" max="95" width="3.75" customWidth="1"/>
    <col min="96" max="96" width="8.625" customWidth="1"/>
    <col min="97" max="97" width="13" customWidth="1"/>
    <col min="98" max="98" width="3.75" bestFit="1" customWidth="1"/>
    <col min="99" max="99" width="8.625" bestFit="1" customWidth="1"/>
    <col min="100" max="100" width="13" bestFit="1" customWidth="1"/>
    <col min="101" max="101" width="1.375" bestFit="1" customWidth="1"/>
    <col min="102" max="102" width="16.875" bestFit="1" customWidth="1"/>
    <col min="103" max="103" width="7.5" bestFit="1" customWidth="1"/>
    <col min="104" max="104" width="4" bestFit="1" customWidth="1"/>
    <col min="105" max="105" width="6.125" bestFit="1" customWidth="1"/>
    <col min="106" max="106" width="3.75" bestFit="1" customWidth="1"/>
    <col min="107" max="107" width="8.625" bestFit="1" customWidth="1"/>
    <col min="108" max="108" width="13" bestFit="1" customWidth="1"/>
  </cols>
  <sheetData>
    <row r="1" spans="1:57" x14ac:dyDescent="0.25">
      <c r="A1" t="s">
        <v>554</v>
      </c>
      <c r="B1" s="1" t="s">
        <v>555</v>
      </c>
      <c r="C1" s="1" t="s">
        <v>602</v>
      </c>
      <c r="D1" s="105" t="s">
        <v>556</v>
      </c>
      <c r="E1" s="105">
        <v>187303</v>
      </c>
      <c r="F1" s="105"/>
      <c r="G1" s="105"/>
      <c r="H1" s="105"/>
      <c r="I1" s="105"/>
      <c r="J1" s="105"/>
      <c r="K1" s="105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25">
      <c r="A2" t="s">
        <v>554</v>
      </c>
      <c r="B2" s="1" t="s">
        <v>556</v>
      </c>
      <c r="C2" s="1" t="s">
        <v>557</v>
      </c>
      <c r="D2" s="1" t="s">
        <v>646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x14ac:dyDescent="0.25">
      <c r="A3" t="s">
        <v>554</v>
      </c>
      <c r="B3" s="1" t="s">
        <v>556</v>
      </c>
      <c r="C3" s="1" t="s">
        <v>558</v>
      </c>
      <c r="D3" s="1" t="s">
        <v>559</v>
      </c>
      <c r="E3" s="1" t="s">
        <v>647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x14ac:dyDescent="0.25">
      <c r="A4" t="s">
        <v>554</v>
      </c>
      <c r="B4" s="1" t="s">
        <v>560</v>
      </c>
      <c r="C4" s="1" t="s">
        <v>559</v>
      </c>
      <c r="D4" s="1" t="s">
        <v>648</v>
      </c>
      <c r="E4" s="1" t="s">
        <v>603</v>
      </c>
      <c r="F4" s="1">
        <v>5</v>
      </c>
      <c r="G4" s="151">
        <v>0.6620949074074074</v>
      </c>
      <c r="H4" s="1">
        <v>2021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x14ac:dyDescent="0.25">
      <c r="A5" t="s">
        <v>554</v>
      </c>
      <c r="B5" s="1" t="s">
        <v>561</v>
      </c>
      <c r="C5" s="1" t="s">
        <v>562</v>
      </c>
      <c r="D5" s="1" t="s">
        <v>649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x14ac:dyDescent="0.25">
      <c r="A6" t="s">
        <v>554</v>
      </c>
      <c r="B6" s="1" t="s">
        <v>563</v>
      </c>
      <c r="C6" s="1" t="s">
        <v>564</v>
      </c>
      <c r="D6" s="1">
        <v>1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x14ac:dyDescent="0.25">
      <c r="A7" t="s">
        <v>554</v>
      </c>
      <c r="B7" s="1" t="s">
        <v>565</v>
      </c>
      <c r="C7" s="1" t="s">
        <v>566</v>
      </c>
      <c r="D7" s="1" t="s">
        <v>567</v>
      </c>
      <c r="E7" s="1" t="s">
        <v>568</v>
      </c>
      <c r="F7" s="1" t="s">
        <v>569</v>
      </c>
      <c r="G7" s="1" t="s">
        <v>570</v>
      </c>
      <c r="H7" s="1" t="s">
        <v>571</v>
      </c>
      <c r="I7" s="1" t="s">
        <v>572</v>
      </c>
      <c r="J7" s="1" t="s">
        <v>573</v>
      </c>
      <c r="K7" s="1" t="s">
        <v>574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x14ac:dyDescent="0.25">
      <c r="A8" t="s">
        <v>554</v>
      </c>
      <c r="B8" s="1">
        <v>187303</v>
      </c>
      <c r="C8" s="1">
        <v>187253</v>
      </c>
      <c r="D8" s="1">
        <v>1.22027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x14ac:dyDescent="0.25">
      <c r="A9" t="s">
        <v>554</v>
      </c>
      <c r="B9" s="1">
        <v>187304</v>
      </c>
      <c r="C9" s="1">
        <v>187254</v>
      </c>
      <c r="D9" s="1">
        <v>1.21922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x14ac:dyDescent="0.25">
      <c r="A10" t="s">
        <v>554</v>
      </c>
      <c r="B10" s="1">
        <v>187305</v>
      </c>
      <c r="C10" s="1">
        <v>187255</v>
      </c>
      <c r="D10" s="1">
        <v>1.21922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1.0251999999999999</v>
      </c>
      <c r="J10" s="1">
        <v>2.1093000000000002</v>
      </c>
      <c r="K10" s="1">
        <v>1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x14ac:dyDescent="0.25">
      <c r="A11" t="s">
        <v>554</v>
      </c>
      <c r="B11" s="1">
        <v>187306</v>
      </c>
      <c r="C11" s="1">
        <v>187256</v>
      </c>
      <c r="D11" s="1">
        <v>1.21922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7.0259</v>
      </c>
      <c r="J11" s="1">
        <v>8.6478000000000002</v>
      </c>
      <c r="K11" s="1">
        <v>1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x14ac:dyDescent="0.25">
      <c r="A12" t="s">
        <v>554</v>
      </c>
      <c r="B12" s="1">
        <v>187307</v>
      </c>
      <c r="C12" s="1">
        <v>187257</v>
      </c>
      <c r="D12" s="1">
        <v>1.21922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20.238</v>
      </c>
      <c r="J12" s="1">
        <v>2.9999999999999997E-4</v>
      </c>
      <c r="K12" s="1">
        <v>1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x14ac:dyDescent="0.25">
      <c r="A13" t="s">
        <v>554</v>
      </c>
      <c r="B13" s="1">
        <v>187308</v>
      </c>
      <c r="C13" s="1">
        <v>187257</v>
      </c>
      <c r="D13" s="1">
        <v>2.3863099999999999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65.736999999999995</v>
      </c>
      <c r="J13" s="1">
        <v>1.9E-3</v>
      </c>
      <c r="K13" s="1">
        <v>1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x14ac:dyDescent="0.25">
      <c r="A14" t="s">
        <v>554</v>
      </c>
      <c r="B14" s="1">
        <v>187309</v>
      </c>
      <c r="C14" s="1">
        <v>187257</v>
      </c>
      <c r="D14" s="1">
        <v>4.7061500000000001</v>
      </c>
      <c r="E14" s="1">
        <v>3.83812</v>
      </c>
      <c r="F14" s="1">
        <v>5.9516400000000003</v>
      </c>
      <c r="G14" s="1">
        <v>8.6599999999999996E-2</v>
      </c>
      <c r="H14" s="1">
        <v>0.13439999999999999</v>
      </c>
      <c r="I14" s="1">
        <v>247.76</v>
      </c>
      <c r="J14" s="1">
        <v>9.9000000000000008E-3</v>
      </c>
      <c r="K14" s="1">
        <v>1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x14ac:dyDescent="0.25">
      <c r="A15" t="s">
        <v>554</v>
      </c>
      <c r="B15" s="1" t="s">
        <v>577</v>
      </c>
      <c r="C15" s="1" t="s">
        <v>578</v>
      </c>
      <c r="D15" s="1">
        <v>4.0000000000000002E-4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x14ac:dyDescent="0.25">
      <c r="A16" t="s">
        <v>554</v>
      </c>
      <c r="B16" s="1" t="s">
        <v>579</v>
      </c>
      <c r="C16" s="1" t="s">
        <v>578</v>
      </c>
      <c r="D16" s="1">
        <v>2.3E-2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 t="s">
        <v>554</v>
      </c>
      <c r="B17" s="1" t="s">
        <v>580</v>
      </c>
      <c r="C17" s="1" t="s">
        <v>0</v>
      </c>
      <c r="D17" s="1" t="s">
        <v>575</v>
      </c>
      <c r="E17" s="1" t="s">
        <v>576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>
        <v>8.1226081098500005E-3</v>
      </c>
      <c r="B18" s="1">
        <v>0.70276981232400004</v>
      </c>
      <c r="C18" s="1">
        <v>5.9985031630500001E-2</v>
      </c>
      <c r="D18" s="1">
        <v>5.8681998652699999E-4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>
        <v>8.2850602720499992E-3</v>
      </c>
      <c r="B19" s="1">
        <v>0.73246578545499996</v>
      </c>
      <c r="C19" s="1">
        <v>5.4732848624599997E-2</v>
      </c>
      <c r="D19" s="1">
        <v>5.9055638625700002E-4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>
        <v>8.45076147749E-3</v>
      </c>
      <c r="B20" s="1">
        <v>0.71015228863799995</v>
      </c>
      <c r="C20" s="1">
        <v>5.0216051246800002E-2</v>
      </c>
      <c r="D20" s="1">
        <v>5.9436751398200002E-4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>
        <v>8.6197767070400003E-3</v>
      </c>
      <c r="B21" s="1">
        <v>0.68195842114600003</v>
      </c>
      <c r="C21" s="1">
        <v>4.5882893845200001E-2</v>
      </c>
      <c r="D21" s="1">
        <v>5.9825486426199996E-4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>
        <v>8.7921722411800005E-3</v>
      </c>
      <c r="B22" s="1">
        <v>0.68559120831999998</v>
      </c>
      <c r="C22" s="1">
        <v>4.25097341012E-2</v>
      </c>
      <c r="D22" s="1">
        <v>6.0221996154699998E-4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>
        <v>8.9680156859999992E-3</v>
      </c>
      <c r="B23" s="1">
        <v>0.70401756370199997</v>
      </c>
      <c r="C23" s="1">
        <v>3.9726002162300003E-2</v>
      </c>
      <c r="D23" s="1">
        <v>6.0626436077800005E-4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>
        <v>9.1473759997200005E-3</v>
      </c>
      <c r="B24" s="1">
        <v>0.71746004760399995</v>
      </c>
      <c r="C24" s="1">
        <v>3.7313439089999997E-2</v>
      </c>
      <c r="D24" s="1">
        <v>6.1038964799399996E-4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>
        <v>9.3303235197199994E-3</v>
      </c>
      <c r="B25" s="1">
        <v>0.76321332619399995</v>
      </c>
      <c r="C25" s="1">
        <v>3.56128128566E-2</v>
      </c>
      <c r="D25" s="1">
        <v>6.1459744095299996E-4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>
        <v>9.5169299901099996E-3</v>
      </c>
      <c r="B26" s="1">
        <v>0.75287952729899998</v>
      </c>
      <c r="C26" s="1">
        <v>3.36731018162E-2</v>
      </c>
      <c r="D26" s="1">
        <v>6.1888938977299997E-4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>
        <v>9.7072685899100009E-3</v>
      </c>
      <c r="B27" s="1">
        <v>0.67852929587499999</v>
      </c>
      <c r="C27" s="1">
        <v>2.6858557961599999E-2</v>
      </c>
      <c r="D27" s="1">
        <v>6.2326717756799996E-4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>
        <v>9.9014139617099994E-3</v>
      </c>
      <c r="B28" s="1">
        <v>0.70913193176400002</v>
      </c>
      <c r="C28" s="1">
        <v>2.5441900902099999E-2</v>
      </c>
      <c r="D28" s="1">
        <v>6.2773252111900004E-4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>
        <v>1.00994422409E-2</v>
      </c>
      <c r="B29" s="1">
        <v>0.64921630600900004</v>
      </c>
      <c r="C29" s="1">
        <v>5.3511759545299999E-2</v>
      </c>
      <c r="D29" s="1">
        <v>6.3228717154200005E-4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>
        <v>1.0301431085800001E-2</v>
      </c>
      <c r="B30" s="1">
        <v>0.64444029339599995</v>
      </c>
      <c r="C30" s="1">
        <v>4.8099163962700003E-2</v>
      </c>
      <c r="D30" s="1">
        <v>6.3693291497300003E-4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>
        <v>1.05074597075E-2</v>
      </c>
      <c r="B31" s="1">
        <v>0.68234442370899995</v>
      </c>
      <c r="C31" s="1">
        <v>4.71003238824E-2</v>
      </c>
      <c r="D31" s="105">
        <v>6.4167157327199998E-4</v>
      </c>
      <c r="E31" s="105"/>
      <c r="F31" s="105"/>
      <c r="G31" s="105"/>
      <c r="H31" s="105"/>
      <c r="I31" s="105"/>
      <c r="J31" s="105"/>
      <c r="K31" s="105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>
        <v>1.07176089016E-2</v>
      </c>
      <c r="B32" s="1">
        <v>0.64611338020599995</v>
      </c>
      <c r="C32" s="1">
        <v>4.1678852311700001E-2</v>
      </c>
      <c r="D32" s="105">
        <v>6.4650500473699998E-4</v>
      </c>
      <c r="E32" s="105"/>
      <c r="F32" s="105"/>
      <c r="G32" s="105"/>
      <c r="H32" s="105"/>
      <c r="I32" s="105"/>
      <c r="J32" s="105"/>
      <c r="K32" s="105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>
        <v>1.0931961079700001E-2</v>
      </c>
      <c r="B33" s="1">
        <v>0.68176635084000003</v>
      </c>
      <c r="C33" s="1">
        <v>4.0547032025799998E-2</v>
      </c>
      <c r="D33" s="1">
        <v>6.5143510483199997E-4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>
        <v>1.1150600301300001E-2</v>
      </c>
      <c r="B34" s="1">
        <v>0.71246246255500001</v>
      </c>
      <c r="C34" s="1">
        <v>3.9553875212600002E-2</v>
      </c>
      <c r="D34" s="1">
        <v>6.56463806929E-4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>
        <v>1.13736123073E-2</v>
      </c>
      <c r="B35" s="1">
        <v>0.66406556881300005</v>
      </c>
      <c r="C35" s="1">
        <v>3.5723577365299998E-2</v>
      </c>
      <c r="D35" s="1">
        <v>6.6159308306700004E-4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>
        <v>1.1601084553400001E-2</v>
      </c>
      <c r="B36" s="1">
        <v>0.66682637032400005</v>
      </c>
      <c r="C36" s="1">
        <v>3.3265266515400002E-2</v>
      </c>
      <c r="D36" s="1">
        <v>6.66824944729E-4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>
        <v>1.18331062445E-2</v>
      </c>
      <c r="B37" s="1">
        <v>0.67352258737399995</v>
      </c>
      <c r="C37" s="1">
        <v>2.6687224170800002E-2</v>
      </c>
      <c r="D37" s="1">
        <v>6.7216144362299999E-4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>
        <v>1.20697683694E-2</v>
      </c>
      <c r="B38" s="1">
        <v>0.72714875462799999</v>
      </c>
      <c r="C38" s="1">
        <v>2.6163799016400001E-2</v>
      </c>
      <c r="D38" s="1">
        <v>6.7760467249600002E-4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>
        <v>1.2311163736799999E-2</v>
      </c>
      <c r="B39" s="1">
        <v>0.71591126495500002</v>
      </c>
      <c r="C39" s="1">
        <v>4.50140562075E-2</v>
      </c>
      <c r="D39" s="1">
        <v>6.8315676594599996E-4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>
        <v>1.25573870115E-2</v>
      </c>
      <c r="B40" s="1">
        <v>0.75416150269000004</v>
      </c>
      <c r="C40" s="1">
        <v>4.4247961805199999E-2</v>
      </c>
      <c r="D40" s="1">
        <v>6.8881990126500004E-4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>
        <v>1.2808534751700001E-2</v>
      </c>
      <c r="B41" s="1">
        <v>0.66732576372300001</v>
      </c>
      <c r="C41" s="1">
        <v>3.7906772939000001E-2</v>
      </c>
      <c r="D41" s="1">
        <v>6.9459629929000003E-4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>
        <v>1.3064705446799999E-2</v>
      </c>
      <c r="B42" s="1">
        <v>0.71681681468699998</v>
      </c>
      <c r="C42" s="1">
        <v>3.7961206103699997E-2</v>
      </c>
      <c r="D42" s="1">
        <v>7.0048822527599998E-4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>
        <v>1.33259995557E-2</v>
      </c>
      <c r="B43" s="1">
        <v>0.72471533934400001</v>
      </c>
      <c r="C43" s="1">
        <v>3.5891927004100002E-2</v>
      </c>
      <c r="D43" s="1">
        <v>7.0649798978100005E-4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>
        <v>1.35925195468E-2</v>
      </c>
      <c r="B44" s="1">
        <v>0.64266409207300002</v>
      </c>
      <c r="C44" s="1">
        <v>3.1672540757000003E-2</v>
      </c>
      <c r="D44" s="1">
        <v>7.12627949577E-4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>
        <v>1.3864369937800001E-2</v>
      </c>
      <c r="B45" s="1">
        <v>0.64725407398599999</v>
      </c>
      <c r="C45" s="1">
        <v>3.02205444058E-2</v>
      </c>
      <c r="D45" s="1">
        <v>7.1888050856799997E-4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>
        <v>1.41416573365E-2</v>
      </c>
      <c r="B46" s="1">
        <v>0.68567868579799995</v>
      </c>
      <c r="C46" s="1">
        <v>3.0211907792499999E-2</v>
      </c>
      <c r="D46" s="1">
        <v>7.2525811874000004E-4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>
        <v>1.4424490483200001E-2</v>
      </c>
      <c r="B47" s="1">
        <v>0.61403099972599995</v>
      </c>
      <c r="C47" s="1">
        <v>2.6508156010299998E-2</v>
      </c>
      <c r="D47" s="1">
        <v>7.3176328111499995E-4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>
        <v>1.47129802929E-2</v>
      </c>
      <c r="B48" s="1">
        <v>0.37562186558299998</v>
      </c>
      <c r="C48" s="1">
        <v>1.9655872502800001E-2</v>
      </c>
      <c r="D48" s="1">
        <v>7.3839854673699999E-4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>
        <v>1.50072398988E-2</v>
      </c>
      <c r="B49" s="1">
        <v>0.171619845046</v>
      </c>
      <c r="C49" s="1">
        <v>1.2643595346800001E-2</v>
      </c>
      <c r="D49" s="1">
        <v>7.4516651767200001E-4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>
        <v>1.53073846967E-2</v>
      </c>
      <c r="B50" s="1">
        <v>6.0278694548900003E-2</v>
      </c>
      <c r="C50" s="1">
        <v>7.7514580090600003E-3</v>
      </c>
      <c r="D50" s="1">
        <v>7.5206984802500001E-4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>
        <v>1.56135323907E-2</v>
      </c>
      <c r="B51" s="1">
        <v>1.5822949949799998E-2</v>
      </c>
      <c r="C51" s="1">
        <v>1.9419147735100001E-3</v>
      </c>
      <c r="D51" s="1">
        <v>7.5911124498600005E-4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>
        <v>1.5925803038500001E-2</v>
      </c>
      <c r="B52" s="1">
        <v>9.0477030990699994E-3</v>
      </c>
      <c r="C52" s="1">
        <v>1.53436537585E-3</v>
      </c>
      <c r="D52" s="1">
        <v>7.6629346988499997E-4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>
        <v>1.6244319099299999E-2</v>
      </c>
      <c r="B53" s="1">
        <v>1.9646830734799999E-2</v>
      </c>
      <c r="C53" s="1">
        <v>1.9357254911E-3</v>
      </c>
      <c r="D53" s="1">
        <v>7.7361933928300004E-4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>
        <v>1.65692054812E-2</v>
      </c>
      <c r="B54" s="1">
        <v>2.9538824842800002E-2</v>
      </c>
      <c r="C54" s="1">
        <v>2.2487879179300002E-3</v>
      </c>
      <c r="D54" s="1">
        <v>7.8109172606899999E-4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>
        <v>1.69005895909E-2</v>
      </c>
      <c r="B55" s="1">
        <v>4.3581818719100003E-2</v>
      </c>
      <c r="C55" s="1">
        <v>2.6359772104500002E-3</v>
      </c>
      <c r="D55" s="1">
        <v>7.8871356059000001E-4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>
        <v>1.7238601382699999E-2</v>
      </c>
      <c r="B56" s="1">
        <v>4.6918350116799998E-2</v>
      </c>
      <c r="C56" s="1">
        <v>2.595372728E-3</v>
      </c>
      <c r="D56" s="1">
        <v>7.9648783180200002E-4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>
        <v>1.7583373410300002E-2</v>
      </c>
      <c r="B57" s="1">
        <v>5.0198665410099999E-2</v>
      </c>
      <c r="C57" s="1">
        <v>2.5590201719500002E-3</v>
      </c>
      <c r="D57" s="1">
        <v>8.0441758843800002E-4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>
        <v>1.7935040878500001E-2</v>
      </c>
      <c r="B58" s="1">
        <v>4.3963108616899997E-2</v>
      </c>
      <c r="C58" s="1">
        <v>2.2431119423400002E-3</v>
      </c>
      <c r="D58" s="1">
        <v>8.1250594020699997E-4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>
        <v>1.8293741696099999E-2</v>
      </c>
      <c r="B59" s="1">
        <v>3.9204617543600002E-2</v>
      </c>
      <c r="C59" s="1">
        <v>2.0730797503100001E-3</v>
      </c>
      <c r="D59" s="1">
        <v>8.2075605901100004E-4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>
        <v>1.8659616529999999E-2</v>
      </c>
      <c r="B60" s="1">
        <v>2.8235044600700001E-2</v>
      </c>
      <c r="C60" s="1">
        <v>1.6278726118999999E-3</v>
      </c>
      <c r="D60" s="1">
        <v>8.29171180191E-4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>
        <v>1.9032808860599999E-2</v>
      </c>
      <c r="B61" s="1">
        <v>1.9324595678599999E-2</v>
      </c>
      <c r="C61" s="1">
        <v>1.31006554928E-3</v>
      </c>
      <c r="D61" s="1">
        <v>8.3775460379500002E-4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>
        <v>1.94134650379E-2</v>
      </c>
      <c r="B62" s="1">
        <v>1.09373572084E-2</v>
      </c>
      <c r="C62" s="1">
        <v>9.4241567347100005E-4</v>
      </c>
      <c r="D62" s="1">
        <v>8.4650969587099999E-4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>
        <v>1.98017343386E-2</v>
      </c>
      <c r="B63" s="1">
        <v>6.1306416709899997E-3</v>
      </c>
      <c r="C63" s="1">
        <v>7.1489473712700005E-4</v>
      </c>
      <c r="D63" s="1">
        <v>8.5543988978799995E-4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>
        <v>2.0197769025399999E-2</v>
      </c>
      <c r="B64" s="1">
        <v>2.47651351029E-3</v>
      </c>
      <c r="C64" s="1">
        <v>4.77845633154E-4</v>
      </c>
      <c r="D64" s="1">
        <v>8.6454868758399997E-4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>
        <v>2.0601724405899999E-2</v>
      </c>
      <c r="B65" s="1">
        <v>1.46215270249E-3</v>
      </c>
      <c r="C65" s="1">
        <v>3.8147714105299998E-4</v>
      </c>
      <c r="D65" s="1">
        <v>8.7383966133600002E-4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>
        <v>2.1013758893999999E-2</v>
      </c>
      <c r="B66" s="1">
        <v>3.0372159940599999E-3</v>
      </c>
      <c r="C66" s="1">
        <v>4.6661663666600002E-4</v>
      </c>
      <c r="D66" s="1">
        <v>8.83316454562E-4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>
        <v>2.1434034071900001E-2</v>
      </c>
      <c r="B67" s="1">
        <v>4.5504512722499999E-3</v>
      </c>
      <c r="C67" s="1">
        <v>5.2012909388799995E-4</v>
      </c>
      <c r="D67" s="1">
        <v>8.9298278365299998E-4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>
        <v>2.1862714753300001E-2</v>
      </c>
      <c r="B68" s="1">
        <v>6.6700004593100003E-3</v>
      </c>
      <c r="C68" s="1">
        <v>5.9597535418599997E-4</v>
      </c>
      <c r="D68" s="1">
        <v>9.0284243932699996E-4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>
        <v>2.2299969048399999E-2</v>
      </c>
      <c r="B69" s="1">
        <v>8.0361133564000008E-3</v>
      </c>
      <c r="C69" s="1">
        <v>6.2498727899799997E-4</v>
      </c>
      <c r="D69" s="1">
        <v>9.1289928811300004E-4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>
        <v>2.27459684294E-2</v>
      </c>
      <c r="B70" s="1">
        <v>9.6769304907100007E-3</v>
      </c>
      <c r="C70" s="1">
        <v>2.8018054589000002E-4</v>
      </c>
      <c r="D70" s="1">
        <v>9.2315727387500001E-4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>
        <v>2.3200887797899999E-2</v>
      </c>
      <c r="B71" s="1">
        <v>9.5605120568700002E-3</v>
      </c>
      <c r="C71" s="1">
        <v>2.7116509362400002E-4</v>
      </c>
      <c r="D71" s="1">
        <v>9.3362041935300005E-4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>
        <v>2.3664905553899999E-2</v>
      </c>
      <c r="B72" s="1">
        <v>8.2428290269699993E-3</v>
      </c>
      <c r="C72" s="1">
        <v>2.4088582849899999E-4</v>
      </c>
      <c r="D72" s="1">
        <v>9.4429282774000003E-4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>
        <v>2.4138203665E-2</v>
      </c>
      <c r="B73" s="1">
        <v>6.1248592751099997E-3</v>
      </c>
      <c r="C73" s="1">
        <v>1.9535349689600001E-4</v>
      </c>
      <c r="D73" s="1">
        <v>9.55178684295E-4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>
        <v>2.4620967738300002E-2</v>
      </c>
      <c r="B74" s="1">
        <v>4.5316472651099997E-3</v>
      </c>
      <c r="C74" s="1">
        <v>1.74842618703E-4</v>
      </c>
      <c r="D74" s="1">
        <v>9.6628225798100001E-4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>
        <v>2.5113387093100001E-2</v>
      </c>
      <c r="B75" s="1">
        <v>2.4620639303899999E-3</v>
      </c>
      <c r="C75" s="1">
        <v>1.19985995694E-4</v>
      </c>
      <c r="D75" s="1">
        <v>9.7760790313999998E-4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>
        <v>2.5615654834900001E-2</v>
      </c>
      <c r="B76" s="1">
        <v>1.0638269480900001E-3</v>
      </c>
      <c r="C76" s="1">
        <v>7.2808053294000003E-5</v>
      </c>
      <c r="D76" s="1">
        <v>9.8916006120299991E-4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>
        <v>2.61279679316E-2</v>
      </c>
      <c r="B77" s="1">
        <v>7.9809281557000002E-4</v>
      </c>
      <c r="C77" s="1">
        <v>6.3803753004700002E-5</v>
      </c>
      <c r="D77" s="1">
        <v>1.0009432624300001E-3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>
        <v>2.66505272902E-2</v>
      </c>
      <c r="B78" s="1">
        <v>9.3318427286599997E-4</v>
      </c>
      <c r="C78" s="1">
        <v>6.8469272844900005E-5</v>
      </c>
      <c r="D78" s="1">
        <v>1.0129621276800001E-3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>
        <v>2.7183537835999999E-2</v>
      </c>
      <c r="B79" s="1">
        <v>1.4980846306500001E-3</v>
      </c>
      <c r="C79" s="1">
        <v>8.2550836667099996E-5</v>
      </c>
      <c r="D79" s="1">
        <v>1.0252213702300001E-3</v>
      </c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>
        <v>2.77272085928E-2</v>
      </c>
      <c r="B80" s="1">
        <v>2.12043459776E-3</v>
      </c>
      <c r="C80" s="1">
        <v>9.9886202133399996E-5</v>
      </c>
      <c r="D80" s="1">
        <v>1.03772579763E-3</v>
      </c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>
        <v>2.8281752764600002E-2</v>
      </c>
      <c r="B81" s="1">
        <v>2.5846875516400002E-3</v>
      </c>
      <c r="C81" s="1">
        <v>1.09960697108E-4</v>
      </c>
      <c r="D81" s="1">
        <v>1.05048031359E-3</v>
      </c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>
        <v>2.8847387819900001E-2</v>
      </c>
      <c r="B82" s="1">
        <v>2.7251215732399998E-3</v>
      </c>
      <c r="C82" s="1">
        <v>1.11822656566E-4</v>
      </c>
      <c r="D82" s="1">
        <v>1.0634899198599999E-3</v>
      </c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>
        <v>2.94243355763E-2</v>
      </c>
      <c r="B83" s="1">
        <v>2.5251043941800001E-3</v>
      </c>
      <c r="C83" s="1">
        <v>1.08713797426E-4</v>
      </c>
      <c r="D83" s="1">
        <v>1.0767597182599999E-3</v>
      </c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>
        <v>3.0012822287800001E-2</v>
      </c>
      <c r="B84" s="1">
        <v>1.9100948392899999E-3</v>
      </c>
      <c r="C84" s="1">
        <v>9.2025730882999997E-5</v>
      </c>
      <c r="D84" s="1">
        <v>1.0902949126200001E-3</v>
      </c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>
        <v>3.0613078733599999E-2</v>
      </c>
      <c r="B85" s="1">
        <v>1.1355546137600001E-3</v>
      </c>
      <c r="C85" s="1">
        <v>7.0408807596999997E-5</v>
      </c>
      <c r="D85" s="1">
        <v>1.1041008108700001E-3</v>
      </c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>
        <v>3.1225340308300001E-2</v>
      </c>
      <c r="B86" s="1">
        <v>6.4982534346199998E-4</v>
      </c>
      <c r="C86" s="1">
        <v>5.2448575464899999E-5</v>
      </c>
      <c r="D86" s="1">
        <v>1.1181828270899999E-3</v>
      </c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>
        <v>3.1849847114399997E-2</v>
      </c>
      <c r="B87" s="1">
        <v>3.15671170455E-4</v>
      </c>
      <c r="C87" s="1">
        <v>3.92058112224E-5</v>
      </c>
      <c r="D87" s="1">
        <v>1.1325464836300001E-3</v>
      </c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>
        <v>3.24868440567E-2</v>
      </c>
      <c r="B88" s="1">
        <v>3.2896053882999998E-4</v>
      </c>
      <c r="C88" s="1">
        <v>4.4158198563799998E-5</v>
      </c>
      <c r="D88" s="1">
        <v>1.1471974133000001E-3</v>
      </c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>
        <v>3.31365809379E-2</v>
      </c>
      <c r="B89" s="1">
        <v>5.1808816782199999E-4</v>
      </c>
      <c r="C89" s="1">
        <v>5.2300085757300001E-5</v>
      </c>
      <c r="D89" s="1">
        <v>1.1621413615700001E-3</v>
      </c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>
        <v>3.37993125566E-2</v>
      </c>
      <c r="B90" s="1">
        <v>6.9348905224000002E-4</v>
      </c>
      <c r="C90" s="1">
        <v>5.6332516005200003E-5</v>
      </c>
      <c r="D90" s="1">
        <v>1.1773841888E-3</v>
      </c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>
        <v>3.4475298807699999E-2</v>
      </c>
      <c r="B91" s="1">
        <v>9.4431464937799997E-4</v>
      </c>
      <c r="C91" s="1">
        <v>6.3384054553000004E-5</v>
      </c>
      <c r="D91" s="1">
        <v>1.1929318725799999E-3</v>
      </c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>
        <v>3.5164804783900001E-2</v>
      </c>
      <c r="B92" s="1">
        <v>9.6728307129800004E-4</v>
      </c>
      <c r="C92" s="1">
        <v>6.3746040703300006E-5</v>
      </c>
      <c r="D92" s="105">
        <v>1.20879051003E-3</v>
      </c>
      <c r="E92" s="105"/>
      <c r="F92" s="105"/>
      <c r="G92" s="105"/>
      <c r="H92" s="105"/>
      <c r="I92" s="105"/>
      <c r="J92" s="105"/>
      <c r="K92" s="105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>
        <v>3.5868100879599997E-2</v>
      </c>
      <c r="B93" s="1">
        <v>6.9678521864200002E-4</v>
      </c>
      <c r="C93" s="1">
        <v>5.4580595236199999E-5</v>
      </c>
      <c r="D93" s="1">
        <v>1.2249663202299999E-3</v>
      </c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>
        <v>3.6585462897200001E-2</v>
      </c>
      <c r="B94" s="1">
        <v>4.3983980930799998E-4</v>
      </c>
      <c r="C94" s="1">
        <v>4.2801397495599999E-5</v>
      </c>
      <c r="D94" s="1">
        <v>1.24146564664E-3</v>
      </c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>
        <v>3.7317172155099998E-2</v>
      </c>
      <c r="B95" s="1">
        <v>1.9478804581500001E-4</v>
      </c>
      <c r="C95" s="1">
        <v>3.04827707194E-5</v>
      </c>
      <c r="D95" s="1">
        <v>1.2582949595699999E-3</v>
      </c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>
        <v>3.8063515598200003E-2</v>
      </c>
      <c r="B96" s="1">
        <v>6.4014492144300004E-5</v>
      </c>
      <c r="C96" s="1">
        <v>2.1330968948900001E-5</v>
      </c>
      <c r="D96" s="1">
        <v>1.2754608587599999E-3</v>
      </c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>
        <v>3.8824785910199999E-2</v>
      </c>
      <c r="B97" s="1">
        <v>1.2563717395500001E-4</v>
      </c>
      <c r="C97" s="1">
        <v>2.40406177942E-5</v>
      </c>
      <c r="D97" s="1">
        <v>1.29297007593E-3</v>
      </c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>
        <v>3.9601281628400001E-2</v>
      </c>
      <c r="B98" s="1">
        <v>2.5647397298300001E-4</v>
      </c>
      <c r="C98" s="1">
        <v>3.1726654154299997E-5</v>
      </c>
      <c r="D98" s="1">
        <v>1.31082947745E-3</v>
      </c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>
        <v>4.0393307261000003E-2</v>
      </c>
      <c r="B99" s="1">
        <v>2.6018201468300001E-4</v>
      </c>
      <c r="C99" s="1">
        <v>3.3679771559400003E-5</v>
      </c>
      <c r="D99" s="1">
        <v>1.3290460669999999E-3</v>
      </c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>
        <v>4.1201173406199998E-2</v>
      </c>
      <c r="B100" s="1">
        <v>2.37941487472E-4</v>
      </c>
      <c r="C100" s="1">
        <v>3.1552740806100002E-5</v>
      </c>
      <c r="D100" s="1">
        <v>1.3476269883400001E-3</v>
      </c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>
        <v>4.2025196874300001E-2</v>
      </c>
      <c r="B101" s="1">
        <v>2.35077783789E-4</v>
      </c>
      <c r="C101" s="1">
        <v>3.1984679155699999E-5</v>
      </c>
      <c r="D101" s="1">
        <v>1.3665795281100001E-3</v>
      </c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>
        <v>4.2865700811800002E-2</v>
      </c>
      <c r="B102" s="1">
        <v>1.44447814022E-4</v>
      </c>
      <c r="C102" s="1">
        <v>2.52089380927E-5</v>
      </c>
      <c r="D102" s="1">
        <v>1.3859111186699999E-3</v>
      </c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>
        <v>4.3723014827999999E-2</v>
      </c>
      <c r="B103" s="1">
        <v>1.299921788E-4</v>
      </c>
      <c r="C103" s="1">
        <v>2.3617497845500001E-5</v>
      </c>
      <c r="D103" s="1">
        <v>1.4056293410400001E-3</v>
      </c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>
        <v>4.4597475124600001E-2</v>
      </c>
      <c r="B104" s="1">
        <v>2.80698501522E-5</v>
      </c>
      <c r="C104" s="1">
        <v>3.6055169229099999E-6</v>
      </c>
      <c r="D104" s="1">
        <v>1.4257419278699999E-3</v>
      </c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>
        <v>4.5489424627099997E-2</v>
      </c>
      <c r="B105" s="1">
        <v>6.0698429042200002E-5</v>
      </c>
      <c r="C105" s="1">
        <v>4.7319944349499996E-6</v>
      </c>
      <c r="D105" s="1">
        <v>1.4462567664200001E-3</v>
      </c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>
        <v>4.6399213119599998E-2</v>
      </c>
      <c r="B106" s="1">
        <v>7.8486392710999997E-5</v>
      </c>
      <c r="C106" s="1">
        <v>5.0494582861500004E-6</v>
      </c>
      <c r="D106" s="1">
        <v>1.4671819017500001E-3</v>
      </c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>
        <v>4.7327197382000002E-2</v>
      </c>
      <c r="B107" s="1">
        <v>9.5719804834600003E-5</v>
      </c>
      <c r="C107" s="1">
        <v>5.4998913603799998E-6</v>
      </c>
      <c r="D107" s="1">
        <v>1.4885255397899999E-3</v>
      </c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>
        <v>4.8273741329600002E-2</v>
      </c>
      <c r="B108" s="1">
        <v>7.9962248249499995E-5</v>
      </c>
      <c r="C108" s="1">
        <v>4.8757427511599998E-6</v>
      </c>
      <c r="D108" s="1">
        <v>1.51029605058E-3</v>
      </c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>
        <v>4.92392161562E-2</v>
      </c>
      <c r="B109" s="1">
        <v>4.0091610408100001E-5</v>
      </c>
      <c r="C109" s="1">
        <v>3.4865903965699999E-6</v>
      </c>
      <c r="D109" s="1">
        <v>1.53250197159E-3</v>
      </c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>
        <v>5.0224000479399997E-2</v>
      </c>
      <c r="B110" s="1">
        <v>2.0803381465399999E-5</v>
      </c>
      <c r="C110" s="1">
        <v>2.5855404176800002E-6</v>
      </c>
      <c r="D110" s="1">
        <v>1.55515201103E-3</v>
      </c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>
        <v>5.1228480489E-2</v>
      </c>
      <c r="B111" s="1">
        <v>2.0064704465700001E-5</v>
      </c>
      <c r="C111" s="1">
        <v>2.6903114144499998E-6</v>
      </c>
      <c r="D111" s="1">
        <v>1.5782550512500001E-3</v>
      </c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>
        <v>5.2253050098700002E-2</v>
      </c>
      <c r="B112" s="1">
        <v>2.8947895988399999E-5</v>
      </c>
      <c r="C112" s="1">
        <v>2.9535276805900002E-6</v>
      </c>
      <c r="D112" s="1">
        <v>1.6018201522700001E-3</v>
      </c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>
        <v>5.3298111100699999E-2</v>
      </c>
      <c r="B113" s="1">
        <v>3.7869632352599997E-5</v>
      </c>
      <c r="C113" s="1">
        <v>3.1045534440499999E-6</v>
      </c>
      <c r="D113" s="1">
        <v>1.62585655532E-3</v>
      </c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>
        <v>5.4364073322699998E-2</v>
      </c>
      <c r="B114" s="1">
        <v>3.3602103851100003E-5</v>
      </c>
      <c r="C114" s="1">
        <v>2.9411685351399999E-6</v>
      </c>
      <c r="D114" s="1">
        <v>1.65037368642E-3</v>
      </c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>
        <v>5.5451354789199998E-2</v>
      </c>
      <c r="B115" s="1">
        <v>1.6278235516000002E-5</v>
      </c>
      <c r="C115" s="1">
        <v>2.3173855456899998E-6</v>
      </c>
      <c r="D115" s="1">
        <v>1.6753811601499999E-3</v>
      </c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>
        <v>5.6560381884999997E-2</v>
      </c>
      <c r="B116" s="1">
        <v>1.12284898651E-5</v>
      </c>
      <c r="C116" s="1">
        <v>2.05593259723E-6</v>
      </c>
      <c r="D116" s="1">
        <v>1.7008887833499999E-3</v>
      </c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>
        <v>5.7691589522700003E-2</v>
      </c>
      <c r="B117" s="1">
        <v>1.1787626011E-5</v>
      </c>
      <c r="C117" s="1">
        <v>2.1866912984999999E-6</v>
      </c>
      <c r="D117" s="1">
        <v>1.7269065590200001E-3</v>
      </c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>
        <v>5.8845421313099999E-2</v>
      </c>
      <c r="B118" s="1">
        <v>1.4529192213099999E-5</v>
      </c>
      <c r="C118" s="1">
        <v>2.16143367786E-6</v>
      </c>
      <c r="D118" s="1">
        <v>1.7534446902000001E-3</v>
      </c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>
        <v>6.0022329739399999E-2</v>
      </c>
      <c r="B119" s="1">
        <v>1.7416498247000001E-5</v>
      </c>
      <c r="C119" s="1">
        <v>2.2818885530399999E-6</v>
      </c>
      <c r="D119" s="1">
        <v>1.7805135840099999E-3</v>
      </c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>
        <v>6.1222776334200001E-2</v>
      </c>
      <c r="B120" s="1">
        <v>1.51855218849E-5</v>
      </c>
      <c r="C120" s="1">
        <v>2.1123330558499999E-6</v>
      </c>
      <c r="D120" s="1">
        <v>1.80812385569E-3</v>
      </c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>
        <v>6.24472318608E-2</v>
      </c>
      <c r="B121" s="1">
        <v>5.8946313302600004E-6</v>
      </c>
      <c r="C121" s="1">
        <v>1.66791577913E-6</v>
      </c>
      <c r="D121" s="1">
        <v>1.8362863327999999E-3</v>
      </c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>
        <v>6.3696176498099999E-2</v>
      </c>
      <c r="B122" s="1">
        <v>8.5018382936399998E-6</v>
      </c>
      <c r="C122" s="1">
        <v>2.0172675256499999E-6</v>
      </c>
      <c r="D122" s="1">
        <v>1.86501205946E-3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>
        <v>6.4970100027999994E-2</v>
      </c>
      <c r="B123" s="1">
        <v>1.44525628969E-5</v>
      </c>
      <c r="C123" s="1">
        <v>2.26639754782E-6</v>
      </c>
      <c r="D123" s="1">
        <v>1.8943123006400001E-3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>
        <v>6.6269502028600005E-2</v>
      </c>
      <c r="B124" s="1">
        <v>1.31907913227E-5</v>
      </c>
      <c r="C124" s="1">
        <v>2.0966738813699999E-6</v>
      </c>
      <c r="D124" s="1">
        <v>1.92419854666E-3</v>
      </c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>
        <v>6.7594892069199997E-2</v>
      </c>
      <c r="B125" s="1">
        <v>6.9211347888800004E-6</v>
      </c>
      <c r="C125" s="1">
        <v>1.7645097396300001E-6</v>
      </c>
      <c r="D125" s="1">
        <v>1.9546825175900001E-3</v>
      </c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>
        <v>6.8946789910500003E-2</v>
      </c>
      <c r="B126" s="1">
        <v>1.21556774039E-5</v>
      </c>
      <c r="C126" s="1">
        <v>1.9392077816699998E-6</v>
      </c>
      <c r="D126" s="1">
        <v>1.9857761679399999E-3</v>
      </c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>
        <v>7.0325725708699993E-2</v>
      </c>
      <c r="B127" s="1">
        <v>9.9115230238699995E-6</v>
      </c>
      <c r="C127" s="1">
        <v>1.9137536175699998E-6</v>
      </c>
      <c r="D127" s="1">
        <v>2.0174916913E-3</v>
      </c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>
        <v>7.1732240222900007E-2</v>
      </c>
      <c r="B128" s="1">
        <v>1.2713352974000001E-5</v>
      </c>
      <c r="C128" s="1">
        <v>1.84945786828E-6</v>
      </c>
      <c r="D128" s="1">
        <v>2.04984152513E-3</v>
      </c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>
        <v>7.31668850274E-2</v>
      </c>
      <c r="B129" s="1">
        <v>8.3066146392299996E-6</v>
      </c>
      <c r="C129" s="1">
        <v>1.6665054013300001E-6</v>
      </c>
      <c r="D129" s="1">
        <v>2.0828383556299999E-3</v>
      </c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>
        <v>7.46302227279E-2</v>
      </c>
      <c r="B130" s="1">
        <v>8.0888416772500008E-6</v>
      </c>
      <c r="C130" s="1">
        <v>1.6786877190200001E-6</v>
      </c>
      <c r="D130" s="1">
        <v>2.1164951227399999E-3</v>
      </c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>
        <v>7.6122827182500005E-2</v>
      </c>
      <c r="B131" s="1">
        <v>7.6975185137500004E-6</v>
      </c>
      <c r="C131" s="1">
        <v>1.6092264076199999E-6</v>
      </c>
      <c r="D131" s="1">
        <v>2.1508250251999999E-3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>
        <v>7.7645283726099995E-2</v>
      </c>
      <c r="B132" s="1">
        <v>1.1745156567699999E-5</v>
      </c>
      <c r="C132" s="1">
        <v>1.7855203225699999E-6</v>
      </c>
      <c r="D132" s="1">
        <v>2.1858415257E-3</v>
      </c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>
        <v>7.9198189400700003E-2</v>
      </c>
      <c r="B133" s="1">
        <v>1.45126940486E-5</v>
      </c>
      <c r="C133" s="1">
        <v>1.90458993477E-6</v>
      </c>
      <c r="D133" s="1">
        <v>2.2215583562199999E-3</v>
      </c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>
        <v>8.0782153188699996E-2</v>
      </c>
      <c r="B134" s="1">
        <v>8.4660131634199999E-6</v>
      </c>
      <c r="C134" s="1">
        <v>1.6005444082099999E-6</v>
      </c>
      <c r="D134" s="1">
        <v>2.25798952334E-3</v>
      </c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>
        <v>8.2397796252399999E-2</v>
      </c>
      <c r="B135" s="1">
        <v>1.13227059266E-5</v>
      </c>
      <c r="C135" s="1">
        <v>1.8171419942500001E-6</v>
      </c>
      <c r="D135" s="1">
        <v>2.2951493138099999E-3</v>
      </c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>
        <v>8.4045752177500002E-2</v>
      </c>
      <c r="B136" s="1">
        <v>1.07111700561E-5</v>
      </c>
      <c r="C136" s="1">
        <v>1.7586357803499999E-6</v>
      </c>
      <c r="D136" s="1">
        <v>2.3330523000799999E-3</v>
      </c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>
        <v>8.5726667221000002E-2</v>
      </c>
      <c r="B137" s="1">
        <v>1.2865027353E-5</v>
      </c>
      <c r="C137" s="1">
        <v>1.8361978107099999E-6</v>
      </c>
      <c r="D137" s="1">
        <v>2.3717133460799998E-3</v>
      </c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>
        <v>8.7441200565500005E-2</v>
      </c>
      <c r="B138" s="1">
        <v>9.5760759417800008E-6</v>
      </c>
      <c r="C138" s="1">
        <v>1.67189358662E-6</v>
      </c>
      <c r="D138" s="1">
        <v>2.4111476130100002E-3</v>
      </c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>
        <v>8.9190024576800003E-2</v>
      </c>
      <c r="B139" s="1">
        <v>9.1901366466100006E-6</v>
      </c>
      <c r="C139" s="1">
        <v>8.0248528496799997E-7</v>
      </c>
      <c r="D139" s="1">
        <v>2.4513705652700001E-3</v>
      </c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>
        <v>9.0973825068299999E-2</v>
      </c>
      <c r="B140" s="1">
        <v>1.0471744406E-5</v>
      </c>
      <c r="C140" s="1">
        <v>8.3368006626500004E-7</v>
      </c>
      <c r="D140" s="1">
        <v>2.4923979765700001E-3</v>
      </c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>
        <v>9.2793301569700004E-2</v>
      </c>
      <c r="B141" s="1">
        <v>9.6951536547900003E-6</v>
      </c>
      <c r="C141" s="1">
        <v>7.9571367106599996E-7</v>
      </c>
      <c r="D141" s="1">
        <v>2.5342459361000001E-3</v>
      </c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>
        <v>9.4649167601099995E-2</v>
      </c>
      <c r="B142" s="1">
        <v>9.6807552436000001E-6</v>
      </c>
      <c r="C142" s="1">
        <v>7.9401636325500001E-7</v>
      </c>
      <c r="D142" s="1">
        <v>2.5769308548199998E-3</v>
      </c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>
        <v>9.6542150953099995E-2</v>
      </c>
      <c r="B143" s="1">
        <v>9.8519067745899998E-6</v>
      </c>
      <c r="C143" s="1">
        <v>8.0068870413299996E-7</v>
      </c>
      <c r="D143" s="1">
        <v>2.6204694719199999E-3</v>
      </c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>
        <v>9.8472993972199996E-2</v>
      </c>
      <c r="B144" s="1">
        <v>1.0573241472799999E-5</v>
      </c>
      <c r="C144" s="1">
        <v>7.4504021051099997E-7</v>
      </c>
      <c r="D144" s="1">
        <v>2.6648788613600001E-3</v>
      </c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>
        <v>0.100442453852</v>
      </c>
      <c r="B145" s="1">
        <v>1.0253938573300001E-5</v>
      </c>
      <c r="C145" s="1">
        <v>8.1212113842700005E-7</v>
      </c>
      <c r="D145" s="1">
        <v>2.7101764385900002E-3</v>
      </c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>
        <v>0.102451302929</v>
      </c>
      <c r="B146" s="1">
        <v>1.1037225839E-5</v>
      </c>
      <c r="C146" s="1">
        <v>8.3892868699799995E-7</v>
      </c>
      <c r="D146" s="1">
        <v>2.75637996736E-3</v>
      </c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>
        <v>0.104500328987</v>
      </c>
      <c r="B147" s="1">
        <v>1.1690151273700001E-5</v>
      </c>
      <c r="C147" s="1">
        <v>8.3343295217500001E-7</v>
      </c>
      <c r="D147" s="1">
        <v>2.8035075667099999E-3</v>
      </c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>
        <v>0.106590335567</v>
      </c>
      <c r="B148" s="1">
        <v>1.0832949757900001E-5</v>
      </c>
      <c r="C148" s="1">
        <v>8.0556880716699995E-7</v>
      </c>
      <c r="D148" s="1">
        <v>2.85157771804E-3</v>
      </c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>
        <v>0.10872214227800001</v>
      </c>
      <c r="B149" s="1">
        <v>9.0068554015999996E-6</v>
      </c>
      <c r="C149" s="1">
        <v>7.6227191739200005E-7</v>
      </c>
      <c r="D149" s="1">
        <v>2.9006092723999999E-3</v>
      </c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>
        <v>0.110896585124</v>
      </c>
      <c r="B150" s="1">
        <v>9.3341414372399996E-6</v>
      </c>
      <c r="C150" s="1">
        <v>7.6771856174400003E-7</v>
      </c>
      <c r="D150" s="1">
        <v>2.9506214578500002E-3</v>
      </c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>
        <v>0.113114516826</v>
      </c>
      <c r="B151" s="1">
        <v>1.04624363897E-5</v>
      </c>
      <c r="C151" s="1">
        <v>7.8276396367799998E-7</v>
      </c>
      <c r="D151" s="1">
        <v>3.0016338870099998E-3</v>
      </c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>
        <v>0.115376807163</v>
      </c>
      <c r="B152" s="1">
        <v>1.0041084031299999E-5</v>
      </c>
      <c r="C152" s="1">
        <v>7.9124276085000004E-7</v>
      </c>
      <c r="D152" s="1">
        <v>3.0536665647499998E-3</v>
      </c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>
        <v>0.117684343306</v>
      </c>
      <c r="B153" s="1">
        <v>9.6184039213899996E-6</v>
      </c>
      <c r="C153" s="1">
        <v>7.7435877708399996E-7</v>
      </c>
      <c r="D153" s="1">
        <v>3.1067398960399999E-3</v>
      </c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>
        <v>0.120038030172</v>
      </c>
      <c r="B154" s="1">
        <v>1.02468473874E-5</v>
      </c>
      <c r="C154" s="1">
        <v>7.8609879542300005E-7</v>
      </c>
      <c r="D154" s="1">
        <v>3.1608746939599999E-3</v>
      </c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>
        <v>0.12243879077600001</v>
      </c>
      <c r="B155" s="1">
        <v>8.3466212226299993E-6</v>
      </c>
      <c r="C155" s="1">
        <v>7.2270953071200005E-7</v>
      </c>
      <c r="D155" s="1">
        <v>3.2160921878399999E-3</v>
      </c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>
        <v>0.124887566591</v>
      </c>
      <c r="B156" s="1">
        <v>9.7737750986900002E-6</v>
      </c>
      <c r="C156" s="1">
        <v>8.1366148406299996E-7</v>
      </c>
      <c r="D156" s="1">
        <v>3.2724140315999999E-3</v>
      </c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>
        <v>0.12738531792300001</v>
      </c>
      <c r="B157" s="1">
        <v>1.04939985119E-5</v>
      </c>
      <c r="C157" s="1">
        <v>9.0642837655599998E-7</v>
      </c>
      <c r="D157" s="1">
        <v>3.3298623122299999E-3</v>
      </c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>
        <v>0.12993302428100001</v>
      </c>
      <c r="B158" s="1">
        <v>8.4834910590400003E-6</v>
      </c>
      <c r="C158" s="1">
        <v>7.5482113663599995E-7</v>
      </c>
      <c r="D158" s="1">
        <v>3.3884595584700002E-3</v>
      </c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2:57" x14ac:dyDescent="0.25"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2:57" x14ac:dyDescent="0.25"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2:57" x14ac:dyDescent="0.25"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2:57" x14ac:dyDescent="0.25"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2:57" x14ac:dyDescent="0.25"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2:57" x14ac:dyDescent="0.25"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2:57" x14ac:dyDescent="0.25"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2:57" x14ac:dyDescent="0.25"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2:57" x14ac:dyDescent="0.25"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2:57" x14ac:dyDescent="0.25"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2:57" x14ac:dyDescent="0.25"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2:57" x14ac:dyDescent="0.25"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2:57" x14ac:dyDescent="0.25"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2:57" x14ac:dyDescent="0.25"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2:57" x14ac:dyDescent="0.25"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2:57" x14ac:dyDescent="0.25"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2:57" x14ac:dyDescent="0.25"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2:57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2:57" x14ac:dyDescent="0.25"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2:57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2:57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2:57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2:57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2:57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2:57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2:57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2:57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2:57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2:57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2:57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2:57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2:57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4:57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4:57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4:57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4:57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4:57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4:57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4:57" x14ac:dyDescent="0.25">
      <c r="N199"/>
      <c r="O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4:57" x14ac:dyDescent="0.25">
      <c r="N200"/>
      <c r="O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4:57" x14ac:dyDescent="0.25">
      <c r="N201"/>
      <c r="O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4:57" x14ac:dyDescent="0.25"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4:57" x14ac:dyDescent="0.25"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4:57" x14ac:dyDescent="0.25"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4:57" x14ac:dyDescent="0.25"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4:57" x14ac:dyDescent="0.25"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4:57" x14ac:dyDescent="0.25"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4:57" x14ac:dyDescent="0.25"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0:57" x14ac:dyDescent="0.25"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0:57" x14ac:dyDescent="0.25"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0:57" x14ac:dyDescent="0.25"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0:57" x14ac:dyDescent="0.25"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0:57" x14ac:dyDescent="0.25"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0:57" x14ac:dyDescent="0.25"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0:57" x14ac:dyDescent="0.25"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0:57" x14ac:dyDescent="0.25"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0:57" x14ac:dyDescent="0.25"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0:57" x14ac:dyDescent="0.25"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0:57" x14ac:dyDescent="0.25"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0:57" x14ac:dyDescent="0.25"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0:57" x14ac:dyDescent="0.25"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0:57" x14ac:dyDescent="0.25"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0:57" x14ac:dyDescent="0.25"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0:57" x14ac:dyDescent="0.25"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0:57" x14ac:dyDescent="0.25"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0:57" x14ac:dyDescent="0.25"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0:57" x14ac:dyDescent="0.25"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0:57" x14ac:dyDescent="0.25"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0:57" x14ac:dyDescent="0.25"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0:57" x14ac:dyDescent="0.25"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0:57" x14ac:dyDescent="0.25"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0:57" x14ac:dyDescent="0.25"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0:57" x14ac:dyDescent="0.25"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0:57" x14ac:dyDescent="0.25"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0:57" x14ac:dyDescent="0.25"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0:57" x14ac:dyDescent="0.25"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0:57" x14ac:dyDescent="0.25"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0:57" x14ac:dyDescent="0.25"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0:57" x14ac:dyDescent="0.25"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0:57" x14ac:dyDescent="0.25"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0:57" x14ac:dyDescent="0.25"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0:57" x14ac:dyDescent="0.25"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0:57" x14ac:dyDescent="0.25"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0:57" x14ac:dyDescent="0.25"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0:57" x14ac:dyDescent="0.25"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0:57" x14ac:dyDescent="0.25"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0:57" x14ac:dyDescent="0.25"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0:57" x14ac:dyDescent="0.25"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0:57" x14ac:dyDescent="0.25"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20:57" x14ac:dyDescent="0.25"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20:57" x14ac:dyDescent="0.25"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20:57" x14ac:dyDescent="0.25"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20:57" x14ac:dyDescent="0.25"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20:57" x14ac:dyDescent="0.25"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20:57" x14ac:dyDescent="0.25"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20:57" x14ac:dyDescent="0.25"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20:57" x14ac:dyDescent="0.25"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20:57" x14ac:dyDescent="0.25"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20:57" x14ac:dyDescent="0.25"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20:57" x14ac:dyDescent="0.25"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20:57" x14ac:dyDescent="0.25"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20:57" x14ac:dyDescent="0.25"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20:57" x14ac:dyDescent="0.25"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20:57" x14ac:dyDescent="0.25"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20:57" x14ac:dyDescent="0.25"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20:57" x14ac:dyDescent="0.25"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20:57" x14ac:dyDescent="0.25"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20:57" x14ac:dyDescent="0.25"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20:57" x14ac:dyDescent="0.25"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20:57" x14ac:dyDescent="0.25"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20:57" x14ac:dyDescent="0.25"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20:57" x14ac:dyDescent="0.25"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20:57" x14ac:dyDescent="0.25"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20:57" x14ac:dyDescent="0.25"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20:57" x14ac:dyDescent="0.25"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20:57" x14ac:dyDescent="0.25"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20:57" x14ac:dyDescent="0.25"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20:57" x14ac:dyDescent="0.25"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20:57" x14ac:dyDescent="0.25"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20:57" x14ac:dyDescent="0.25"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20:57" x14ac:dyDescent="0.25"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20:57" x14ac:dyDescent="0.25"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20:57" x14ac:dyDescent="0.25"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20:57" x14ac:dyDescent="0.25"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20:57" x14ac:dyDescent="0.25"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20:57" x14ac:dyDescent="0.25"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20:57" x14ac:dyDescent="0.25"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20:57" x14ac:dyDescent="0.25"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20:57" x14ac:dyDescent="0.25"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20:57" x14ac:dyDescent="0.25"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20:57" x14ac:dyDescent="0.25"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20:57" x14ac:dyDescent="0.25"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20:57" x14ac:dyDescent="0.25"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20:57" x14ac:dyDescent="0.25"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20:57" x14ac:dyDescent="0.25"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20:57" x14ac:dyDescent="0.25"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20:57" x14ac:dyDescent="0.25"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20:57" x14ac:dyDescent="0.25"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20:57" x14ac:dyDescent="0.25"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20:57" x14ac:dyDescent="0.25"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20:57" x14ac:dyDescent="0.25"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20:57" x14ac:dyDescent="0.25"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20:57" x14ac:dyDescent="0.25"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20:57" x14ac:dyDescent="0.25"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20:57" x14ac:dyDescent="0.25"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20:57" x14ac:dyDescent="0.25"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20:57" x14ac:dyDescent="0.25"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20:57" x14ac:dyDescent="0.25"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20:57" x14ac:dyDescent="0.25"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20:57" x14ac:dyDescent="0.25"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20:57" x14ac:dyDescent="0.25"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20:57" x14ac:dyDescent="0.25"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20:57" x14ac:dyDescent="0.25"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20:57" x14ac:dyDescent="0.25"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20:57" x14ac:dyDescent="0.25"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20:57" x14ac:dyDescent="0.25"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20:57" x14ac:dyDescent="0.25"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20:57" x14ac:dyDescent="0.25"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20:57" x14ac:dyDescent="0.25"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20:57" x14ac:dyDescent="0.25"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20:57" x14ac:dyDescent="0.25"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20:57" x14ac:dyDescent="0.25"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20:57" x14ac:dyDescent="0.25"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20:57" x14ac:dyDescent="0.25"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20:57" x14ac:dyDescent="0.25"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20:57" x14ac:dyDescent="0.25"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20:57" x14ac:dyDescent="0.25"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20:57" x14ac:dyDescent="0.25"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20:57" x14ac:dyDescent="0.25"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20:57" x14ac:dyDescent="0.25"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20:57" x14ac:dyDescent="0.25"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20:57" x14ac:dyDescent="0.25"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20:57" x14ac:dyDescent="0.25"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20:57" x14ac:dyDescent="0.25"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20:57" x14ac:dyDescent="0.25"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20:57" x14ac:dyDescent="0.25"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20:57" x14ac:dyDescent="0.25"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20:57" x14ac:dyDescent="0.25"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20:57" x14ac:dyDescent="0.25"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20:57" x14ac:dyDescent="0.25"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20:57" x14ac:dyDescent="0.25"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20:57" x14ac:dyDescent="0.25"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0:57" x14ac:dyDescent="0.25"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0:57" x14ac:dyDescent="0.25"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0:57" x14ac:dyDescent="0.25"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0:57" x14ac:dyDescent="0.25"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0:57" x14ac:dyDescent="0.25"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0:57" x14ac:dyDescent="0.25"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0:57" x14ac:dyDescent="0.25"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0:57" x14ac:dyDescent="0.25"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0:57" x14ac:dyDescent="0.25"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0:57" x14ac:dyDescent="0.25"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0:39" x14ac:dyDescent="0.25"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0:39" x14ac:dyDescent="0.25"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0:39" x14ac:dyDescent="0.25"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0:39" x14ac:dyDescent="0.25"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0:39" x14ac:dyDescent="0.25"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0:39" x14ac:dyDescent="0.25"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0:39" x14ac:dyDescent="0.25"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0:39" x14ac:dyDescent="0.25"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0:39" x14ac:dyDescent="0.25"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0:39" x14ac:dyDescent="0.25"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0:39" x14ac:dyDescent="0.25"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</row>
    <row r="364" spans="20:39" x14ac:dyDescent="0.25"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</row>
    <row r="365" spans="20:39" x14ac:dyDescent="0.25"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</row>
    <row r="366" spans="20:39" x14ac:dyDescent="0.25"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20:39" x14ac:dyDescent="0.25"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20:39" x14ac:dyDescent="0.25"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20:34" x14ac:dyDescent="0.25"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20:34" x14ac:dyDescent="0.25"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20:34" x14ac:dyDescent="0.25"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20:34" x14ac:dyDescent="0.25"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20:34" x14ac:dyDescent="0.25"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20:34" x14ac:dyDescent="0.25"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20:34" x14ac:dyDescent="0.25"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20:34" x14ac:dyDescent="0.25"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20:34" x14ac:dyDescent="0.25"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20:34" x14ac:dyDescent="0.25"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20:34" x14ac:dyDescent="0.25"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20:34" x14ac:dyDescent="0.25"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20:34" x14ac:dyDescent="0.25"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20:34" x14ac:dyDescent="0.25"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20:34" x14ac:dyDescent="0.25"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20:34" x14ac:dyDescent="0.25"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20:34" x14ac:dyDescent="0.25"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20:34" x14ac:dyDescent="0.25"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20:34" x14ac:dyDescent="0.25"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20:34" x14ac:dyDescent="0.25"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20:34" x14ac:dyDescent="0.25"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20:34" x14ac:dyDescent="0.25"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20:34" x14ac:dyDescent="0.25"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20:34" x14ac:dyDescent="0.25"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20:34" x14ac:dyDescent="0.25"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20:34" x14ac:dyDescent="0.25"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20:34" x14ac:dyDescent="0.25"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20:34" x14ac:dyDescent="0.25"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20:34" x14ac:dyDescent="0.25"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20:34" x14ac:dyDescent="0.25"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  <row r="399" spans="20:34" x14ac:dyDescent="0.25"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</row>
    <row r="400" spans="20:34" x14ac:dyDescent="0.25"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</row>
    <row r="401" spans="20:34" x14ac:dyDescent="0.25"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</row>
    <row r="402" spans="20:34" x14ac:dyDescent="0.25"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</row>
    <row r="403" spans="20:34" x14ac:dyDescent="0.25"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</row>
    <row r="404" spans="20:34" x14ac:dyDescent="0.25"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</row>
    <row r="405" spans="20:34" x14ac:dyDescent="0.25"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</row>
    <row r="406" spans="20:34" x14ac:dyDescent="0.25"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</row>
    <row r="407" spans="20:34" x14ac:dyDescent="0.25"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</row>
    <row r="408" spans="20:34" x14ac:dyDescent="0.25"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</row>
    <row r="409" spans="20:34" x14ac:dyDescent="0.25"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</row>
    <row r="410" spans="20:34" x14ac:dyDescent="0.25"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</row>
    <row r="411" spans="20:34" x14ac:dyDescent="0.25"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</row>
    <row r="412" spans="20:34" x14ac:dyDescent="0.25"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</row>
    <row r="413" spans="20:34" x14ac:dyDescent="0.25"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</row>
    <row r="414" spans="20:34" x14ac:dyDescent="0.25"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</row>
    <row r="415" spans="20:34" x14ac:dyDescent="0.25"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</row>
    <row r="416" spans="20:34" x14ac:dyDescent="0.25"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</row>
    <row r="417" spans="20:34" x14ac:dyDescent="0.25"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</row>
    <row r="418" spans="20:34" x14ac:dyDescent="0.25"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</row>
    <row r="419" spans="20:34" x14ac:dyDescent="0.25"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</row>
    <row r="420" spans="20:34" x14ac:dyDescent="0.25"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</row>
    <row r="421" spans="20:34" x14ac:dyDescent="0.25"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</row>
    <row r="422" spans="20:34" x14ac:dyDescent="0.25"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</row>
    <row r="423" spans="20:34" x14ac:dyDescent="0.25"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</row>
    <row r="424" spans="20:34" x14ac:dyDescent="0.25"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</row>
    <row r="425" spans="20:34" x14ac:dyDescent="0.25"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</row>
    <row r="426" spans="20:34" x14ac:dyDescent="0.25"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20:34" x14ac:dyDescent="0.25"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20:34" x14ac:dyDescent="0.25"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20:34" x14ac:dyDescent="0.25"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20:34" x14ac:dyDescent="0.25"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20:34" x14ac:dyDescent="0.25"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20:34" x14ac:dyDescent="0.25"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0:34" x14ac:dyDescent="0.25"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0:34" x14ac:dyDescent="0.25"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0:34" x14ac:dyDescent="0.25"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0:34" x14ac:dyDescent="0.25"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0:34" x14ac:dyDescent="0.25"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0:34" x14ac:dyDescent="0.25"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0:34" x14ac:dyDescent="0.25"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0:34" x14ac:dyDescent="0.25"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0:34" x14ac:dyDescent="0.25">
      <c r="AC441"/>
      <c r="AD441"/>
      <c r="AE441"/>
      <c r="AF441"/>
      <c r="AG441"/>
      <c r="AH441"/>
    </row>
    <row r="442" spans="20:34" x14ac:dyDescent="0.25">
      <c r="AC442"/>
      <c r="AD442"/>
      <c r="AE442"/>
      <c r="AF442"/>
      <c r="AG442"/>
      <c r="AH442"/>
    </row>
    <row r="443" spans="20:34" x14ac:dyDescent="0.25">
      <c r="AC443"/>
      <c r="AD443"/>
      <c r="AE443"/>
      <c r="AF443"/>
      <c r="AG443"/>
      <c r="AH443"/>
    </row>
    <row r="444" spans="20:34" x14ac:dyDescent="0.25">
      <c r="AC444"/>
      <c r="AD444"/>
      <c r="AE444"/>
      <c r="AF444"/>
      <c r="AG444"/>
      <c r="AH444"/>
    </row>
    <row r="445" spans="20:34" x14ac:dyDescent="0.25">
      <c r="AC445"/>
      <c r="AD445"/>
      <c r="AE445"/>
      <c r="AF445"/>
      <c r="AG445"/>
      <c r="AH445"/>
    </row>
    <row r="446" spans="20:34" x14ac:dyDescent="0.25">
      <c r="AC446"/>
      <c r="AD446"/>
      <c r="AE446"/>
      <c r="AF446"/>
      <c r="AG446"/>
      <c r="AH446"/>
    </row>
    <row r="447" spans="20:34" x14ac:dyDescent="0.25">
      <c r="AC447"/>
      <c r="AD447"/>
      <c r="AE447"/>
      <c r="AF447"/>
      <c r="AG447"/>
      <c r="AH447"/>
    </row>
    <row r="448" spans="20:34" x14ac:dyDescent="0.25">
      <c r="AC448"/>
      <c r="AD448"/>
      <c r="AE448"/>
      <c r="AF448"/>
      <c r="AG448"/>
      <c r="AH448"/>
    </row>
    <row r="449" spans="29:34" x14ac:dyDescent="0.25">
      <c r="AC449"/>
      <c r="AD449"/>
      <c r="AE449"/>
      <c r="AF449"/>
      <c r="AG449"/>
      <c r="AH449"/>
    </row>
    <row r="450" spans="29:34" x14ac:dyDescent="0.25">
      <c r="AC450"/>
      <c r="AD450"/>
      <c r="AE450"/>
      <c r="AF450"/>
      <c r="AG450"/>
      <c r="AH450"/>
    </row>
    <row r="451" spans="29:34" x14ac:dyDescent="0.25">
      <c r="AC451"/>
      <c r="AD451"/>
      <c r="AE451"/>
      <c r="AF451"/>
      <c r="AG451"/>
      <c r="AH451"/>
    </row>
    <row r="452" spans="29:34" x14ac:dyDescent="0.25">
      <c r="AC452"/>
      <c r="AD452"/>
      <c r="AE452"/>
      <c r="AF452"/>
      <c r="AG452"/>
      <c r="AH452"/>
    </row>
    <row r="453" spans="29:34" x14ac:dyDescent="0.25">
      <c r="AC453"/>
      <c r="AD453"/>
      <c r="AE453"/>
      <c r="AF453"/>
      <c r="AG453"/>
      <c r="AH453"/>
    </row>
    <row r="454" spans="29:34" x14ac:dyDescent="0.25">
      <c r="AC454"/>
      <c r="AD454"/>
      <c r="AE454"/>
      <c r="AF454"/>
      <c r="AG454"/>
      <c r="AH454"/>
    </row>
    <row r="455" spans="29:34" x14ac:dyDescent="0.25">
      <c r="AC455"/>
      <c r="AD455"/>
      <c r="AE455"/>
      <c r="AF455"/>
      <c r="AG455"/>
      <c r="AH455"/>
    </row>
    <row r="456" spans="29:34" x14ac:dyDescent="0.25">
      <c r="AC456"/>
      <c r="AD456"/>
      <c r="AE456"/>
      <c r="AF456"/>
      <c r="AG456"/>
      <c r="AH456"/>
    </row>
    <row r="457" spans="29:34" x14ac:dyDescent="0.25">
      <c r="AC457"/>
      <c r="AD457"/>
      <c r="AE457"/>
      <c r="AF457"/>
      <c r="AG457"/>
      <c r="AH457"/>
    </row>
    <row r="458" spans="29:34" x14ac:dyDescent="0.25">
      <c r="AC458"/>
      <c r="AD458"/>
      <c r="AE458"/>
      <c r="AF458"/>
      <c r="AG458"/>
      <c r="AH458"/>
    </row>
    <row r="459" spans="29:34" x14ac:dyDescent="0.25">
      <c r="AC459"/>
      <c r="AD459"/>
      <c r="AE459"/>
      <c r="AF459"/>
      <c r="AG459"/>
      <c r="AH459"/>
    </row>
    <row r="460" spans="29:34" x14ac:dyDescent="0.25">
      <c r="AC460"/>
      <c r="AD460"/>
      <c r="AE460"/>
      <c r="AF460"/>
      <c r="AG460"/>
      <c r="AH460"/>
    </row>
    <row r="461" spans="29:34" x14ac:dyDescent="0.25">
      <c r="AC461"/>
      <c r="AD461"/>
      <c r="AE461"/>
      <c r="AF461"/>
      <c r="AG461"/>
      <c r="AH461"/>
    </row>
    <row r="462" spans="29:34" x14ac:dyDescent="0.25">
      <c r="AC462"/>
      <c r="AD462"/>
      <c r="AE462"/>
      <c r="AF462"/>
      <c r="AG462"/>
      <c r="AH462"/>
    </row>
    <row r="463" spans="29:34" x14ac:dyDescent="0.25">
      <c r="AC463"/>
      <c r="AD463"/>
      <c r="AE463"/>
      <c r="AF463"/>
      <c r="AG463"/>
      <c r="AH463"/>
    </row>
    <row r="464" spans="29:34" x14ac:dyDescent="0.25">
      <c r="AC464"/>
      <c r="AD464"/>
      <c r="AE464"/>
      <c r="AF464"/>
      <c r="AG464"/>
      <c r="AH464"/>
    </row>
    <row r="465" spans="29:34" x14ac:dyDescent="0.25">
      <c r="AC465"/>
      <c r="AD465"/>
      <c r="AE465"/>
      <c r="AF465"/>
      <c r="AG465"/>
      <c r="AH465"/>
    </row>
    <row r="466" spans="29:34" x14ac:dyDescent="0.25">
      <c r="AC466"/>
      <c r="AD466"/>
      <c r="AE466"/>
      <c r="AF466"/>
      <c r="AG466"/>
      <c r="AH466"/>
    </row>
    <row r="467" spans="29:34" x14ac:dyDescent="0.25">
      <c r="AC467"/>
      <c r="AD467"/>
      <c r="AE467"/>
      <c r="AF467"/>
      <c r="AG467"/>
      <c r="AH467"/>
    </row>
    <row r="468" spans="29:34" x14ac:dyDescent="0.25">
      <c r="AC468"/>
      <c r="AD468"/>
      <c r="AE468"/>
      <c r="AF468"/>
      <c r="AG468"/>
      <c r="AH468"/>
    </row>
    <row r="469" spans="29:34" x14ac:dyDescent="0.25">
      <c r="AC469"/>
      <c r="AD469"/>
      <c r="AE469"/>
      <c r="AF469"/>
      <c r="AG469"/>
      <c r="AH469"/>
    </row>
    <row r="470" spans="29:34" x14ac:dyDescent="0.25">
      <c r="AC470"/>
      <c r="AD470"/>
      <c r="AE470"/>
      <c r="AF470"/>
      <c r="AG470"/>
      <c r="AH470"/>
    </row>
    <row r="471" spans="29:34" x14ac:dyDescent="0.25">
      <c r="AC471"/>
      <c r="AD471"/>
      <c r="AE471"/>
      <c r="AF471"/>
      <c r="AG471"/>
      <c r="AH471"/>
    </row>
    <row r="472" spans="29:34" x14ac:dyDescent="0.25">
      <c r="AC472"/>
      <c r="AD472"/>
      <c r="AE472"/>
      <c r="AF472"/>
      <c r="AG472"/>
      <c r="AH472"/>
    </row>
    <row r="473" spans="29:34" x14ac:dyDescent="0.25">
      <c r="AC473"/>
      <c r="AD473"/>
      <c r="AE473"/>
      <c r="AF473"/>
      <c r="AG473"/>
      <c r="AH473"/>
    </row>
    <row r="474" spans="29:34" x14ac:dyDescent="0.25">
      <c r="AC474"/>
      <c r="AD474"/>
      <c r="AE474"/>
      <c r="AF474"/>
      <c r="AG474"/>
      <c r="AH474"/>
    </row>
    <row r="475" spans="29:34" x14ac:dyDescent="0.25">
      <c r="AC475"/>
      <c r="AD475"/>
      <c r="AE475"/>
      <c r="AF475"/>
      <c r="AG475"/>
      <c r="AH475"/>
    </row>
    <row r="476" spans="29:34" x14ac:dyDescent="0.25">
      <c r="AC476"/>
      <c r="AD476"/>
      <c r="AE476"/>
      <c r="AF476"/>
      <c r="AG476"/>
      <c r="AH476"/>
    </row>
    <row r="477" spans="29:34" x14ac:dyDescent="0.25">
      <c r="AC477"/>
      <c r="AD477"/>
      <c r="AE477"/>
      <c r="AF477"/>
      <c r="AG477"/>
      <c r="AH477"/>
    </row>
    <row r="478" spans="29:34" x14ac:dyDescent="0.25">
      <c r="AC478"/>
      <c r="AD478"/>
      <c r="AE478"/>
      <c r="AF478"/>
      <c r="AG478"/>
      <c r="AH478"/>
    </row>
    <row r="479" spans="29:34" x14ac:dyDescent="0.25">
      <c r="AC479"/>
      <c r="AD479"/>
      <c r="AE479"/>
      <c r="AF479"/>
      <c r="AG479"/>
      <c r="AH479"/>
    </row>
    <row r="480" spans="29:34" x14ac:dyDescent="0.25">
      <c r="AC480"/>
      <c r="AD480"/>
      <c r="AE480"/>
      <c r="AF480"/>
      <c r="AG480"/>
      <c r="AH480"/>
    </row>
    <row r="481" spans="29:34" x14ac:dyDescent="0.25">
      <c r="AC481"/>
      <c r="AD481"/>
      <c r="AE481"/>
      <c r="AF481"/>
      <c r="AG481"/>
      <c r="AH481"/>
    </row>
    <row r="482" spans="29:34" x14ac:dyDescent="0.25">
      <c r="AC482"/>
      <c r="AD482"/>
      <c r="AE482"/>
      <c r="AF482"/>
      <c r="AG482"/>
      <c r="AH482"/>
    </row>
    <row r="483" spans="29:34" x14ac:dyDescent="0.25">
      <c r="AC483"/>
      <c r="AD483"/>
      <c r="AE483"/>
      <c r="AF483"/>
      <c r="AG483"/>
      <c r="AH483"/>
    </row>
    <row r="484" spans="29:34" x14ac:dyDescent="0.25">
      <c r="AC484"/>
      <c r="AD484"/>
      <c r="AE484"/>
      <c r="AF484"/>
      <c r="AG484"/>
      <c r="AH484"/>
    </row>
    <row r="485" spans="29:34" x14ac:dyDescent="0.25">
      <c r="AC485"/>
      <c r="AD485"/>
      <c r="AE485"/>
      <c r="AF485"/>
      <c r="AG485"/>
      <c r="AH485"/>
    </row>
    <row r="486" spans="29:34" x14ac:dyDescent="0.25">
      <c r="AC486"/>
      <c r="AD486"/>
      <c r="AE486"/>
      <c r="AF486"/>
      <c r="AG486"/>
      <c r="AH486"/>
    </row>
    <row r="487" spans="29:34" x14ac:dyDescent="0.25">
      <c r="AC487"/>
      <c r="AD487"/>
      <c r="AE487"/>
      <c r="AF487"/>
      <c r="AG487"/>
      <c r="AH487"/>
    </row>
    <row r="488" spans="29:34" x14ac:dyDescent="0.25">
      <c r="AC488"/>
      <c r="AD488"/>
      <c r="AE488"/>
      <c r="AF488"/>
      <c r="AG488"/>
      <c r="AH488"/>
    </row>
    <row r="489" spans="29:34" x14ac:dyDescent="0.25">
      <c r="AC489"/>
      <c r="AD489"/>
      <c r="AE489"/>
      <c r="AF489"/>
      <c r="AG489"/>
      <c r="AH489"/>
    </row>
    <row r="490" spans="29:34" x14ac:dyDescent="0.25">
      <c r="AC490"/>
      <c r="AD490"/>
      <c r="AE490"/>
      <c r="AF490"/>
      <c r="AG490"/>
      <c r="AH490"/>
    </row>
    <row r="491" spans="29:34" x14ac:dyDescent="0.25">
      <c r="AC491"/>
      <c r="AD491"/>
      <c r="AE491"/>
      <c r="AF491"/>
      <c r="AG491"/>
      <c r="AH491"/>
    </row>
    <row r="492" spans="29:34" x14ac:dyDescent="0.25">
      <c r="AC492"/>
      <c r="AD492"/>
      <c r="AE492"/>
      <c r="AF492"/>
      <c r="AG492"/>
      <c r="AH492"/>
    </row>
    <row r="493" spans="29:34" x14ac:dyDescent="0.25">
      <c r="AC493"/>
      <c r="AD493"/>
      <c r="AE493"/>
      <c r="AF493"/>
      <c r="AG493"/>
      <c r="AH493"/>
    </row>
    <row r="494" spans="29:34" x14ac:dyDescent="0.25">
      <c r="AC494"/>
      <c r="AD494"/>
      <c r="AE494"/>
      <c r="AF494"/>
      <c r="AG494"/>
      <c r="AH494"/>
    </row>
    <row r="495" spans="29:34" x14ac:dyDescent="0.25">
      <c r="AC495"/>
      <c r="AD495"/>
      <c r="AE495"/>
      <c r="AF495"/>
      <c r="AG495"/>
      <c r="AH495"/>
    </row>
  </sheetData>
  <phoneticPr fontId="2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1"/>
  <sheetViews>
    <sheetView workbookViewId="0">
      <selection activeCell="C21" sqref="C21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544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550</v>
      </c>
      <c r="B18" s="56" t="s">
        <v>549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551</v>
      </c>
      <c r="B19" s="56" t="s">
        <v>544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552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  <row r="21" spans="1:6" x14ac:dyDescent="0.25">
      <c r="A21" s="56" t="s">
        <v>618</v>
      </c>
      <c r="B21" s="56" t="s">
        <v>619</v>
      </c>
      <c r="C21" s="57">
        <v>3.3412002360070796E-2</v>
      </c>
      <c r="D21" s="19">
        <v>6.3967644463905409E-6</v>
      </c>
      <c r="E21" s="19">
        <v>2.2819765794308643E-13</v>
      </c>
      <c r="F21" s="19">
        <v>1.3701593927817831E-9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7" t="s">
        <v>1</v>
      </c>
      <c r="B1" s="207"/>
      <c r="C1" s="207"/>
      <c r="D1" s="207"/>
      <c r="E1" s="207"/>
      <c r="F1" s="207"/>
      <c r="G1" s="207"/>
      <c r="H1" s="207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Reflectivity</vt:lpstr>
      <vt:lpstr>Uncertainties</vt:lpstr>
      <vt:lpstr>Uncertainties_DREAM</vt:lpstr>
      <vt:lpstr>d1</vt:lpstr>
      <vt:lpstr>dtot</vt:lpstr>
      <vt:lpstr>dPGMA</vt:lpstr>
      <vt:lpstr>Nb1</vt:lpstr>
      <vt:lpstr>Nb2</vt:lpstr>
      <vt:lpstr>sig12</vt:lpstr>
      <vt:lpstr>sigtop</vt:lpstr>
      <vt:lpstr>NbPGMA</vt:lpstr>
      <vt:lpstr>NbD2O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2022-08-03T14:32:56Z</dcterms:modified>
</cp:coreProperties>
</file>